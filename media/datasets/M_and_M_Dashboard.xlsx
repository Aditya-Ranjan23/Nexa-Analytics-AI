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150785A0-E29A-4859-97E0-6AC8E3278D8D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Data Sheet" sheetId="6" r:id="rId1"/>
    <sheet name="Profit &amp; Loss" sheetId="1" r:id="rId2"/>
    <sheet name="Balance Sheet" sheetId="3" r:id="rId3"/>
    <sheet name="Cash Flow" sheetId="4" r:id="rId4"/>
    <sheet name="Balance Sheet 2" sheetId="11" r:id="rId5"/>
    <sheet name="Annual" sheetId="9" r:id="rId6"/>
    <sheet name="Quarters (2)" sheetId="10" r:id="rId7"/>
    <sheet name="Cash Flow 2" sheetId="12" r:id="rId8"/>
    <sheet name="Dashboard" sheetId="7" r:id="rId9"/>
  </sheets>
  <definedNames>
    <definedName name="ExternalData_1" localSheetId="5" hidden="1">Annual!$A$1:$P$14</definedName>
    <definedName name="ExternalData_1" localSheetId="4" hidden="1">'Balance Sheet 2'!$A$1:$V$11</definedName>
    <definedName name="ExternalData_1" localSheetId="7" hidden="1">'Cash Flow 2'!$A$1:$E$11</definedName>
    <definedName name="ExternalData_1" localSheetId="6" hidden="1">'Quarters (2)'!$A$1:$L$11</definedName>
    <definedName name="UPDATE">'Data Sheet'!$E$1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9" l="1"/>
  <c r="Q3" i="9"/>
  <c r="Q4" i="9"/>
  <c r="Q5" i="9"/>
  <c r="Q6" i="9"/>
  <c r="Q7" i="9"/>
  <c r="Q8" i="9"/>
  <c r="Q9" i="9"/>
  <c r="Q10" i="9"/>
  <c r="Q11" i="9"/>
  <c r="Q12" i="9"/>
  <c r="Q13" i="9"/>
  <c r="Q14" i="9"/>
  <c r="R6" i="7"/>
  <c r="P6" i="7"/>
  <c r="N6" i="7"/>
  <c r="L6" i="7"/>
  <c r="J6" i="7"/>
  <c r="H6" i="7"/>
  <c r="B6" i="6"/>
  <c r="E1" i="6"/>
  <c r="E1" i="4" s="1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F23" i="3"/>
  <c r="E21" i="3"/>
  <c r="D21" i="3"/>
  <c r="C21" i="3"/>
  <c r="E20" i="3"/>
  <c r="D20" i="3"/>
  <c r="C20" i="3"/>
  <c r="B20" i="3"/>
  <c r="K18" i="3"/>
  <c r="K21" i="3" s="1"/>
  <c r="J18" i="3"/>
  <c r="J21" i="3" s="1"/>
  <c r="I18" i="3"/>
  <c r="I21" i="3" s="1"/>
  <c r="H18" i="3"/>
  <c r="H21" i="3" s="1"/>
  <c r="G18" i="3"/>
  <c r="F18" i="3"/>
  <c r="E18" i="3"/>
  <c r="D18" i="3"/>
  <c r="C18" i="3"/>
  <c r="B18" i="3"/>
  <c r="B21" i="3" s="1"/>
  <c r="K17" i="3"/>
  <c r="J17" i="3"/>
  <c r="I17" i="3"/>
  <c r="H17" i="3"/>
  <c r="G17" i="3"/>
  <c r="F17" i="3"/>
  <c r="E17" i="3"/>
  <c r="D17" i="3"/>
  <c r="C17" i="3"/>
  <c r="B17" i="3"/>
  <c r="K16" i="3"/>
  <c r="J16" i="3"/>
  <c r="I16" i="3"/>
  <c r="H16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F16" i="3" s="1"/>
  <c r="E13" i="3"/>
  <c r="E16" i="3" s="1"/>
  <c r="D13" i="3"/>
  <c r="D16" i="3" s="1"/>
  <c r="C13" i="3"/>
  <c r="C16" i="3" s="1"/>
  <c r="B13" i="3"/>
  <c r="B16" i="3" s="1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G16" i="3" s="1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D23" i="3" s="1"/>
  <c r="C5" i="3"/>
  <c r="C23" i="3" s="1"/>
  <c r="B5" i="3"/>
  <c r="B23" i="3" s="1"/>
  <c r="K4" i="3"/>
  <c r="K23" i="3" s="1"/>
  <c r="J4" i="3"/>
  <c r="K24" i="3" s="1"/>
  <c r="I4" i="3"/>
  <c r="J24" i="3" s="1"/>
  <c r="H4" i="3"/>
  <c r="H23" i="3" s="1"/>
  <c r="G4" i="3"/>
  <c r="H24" i="3" s="1"/>
  <c r="F4" i="3"/>
  <c r="G24" i="3" s="1"/>
  <c r="E4" i="3"/>
  <c r="F24" i="3" s="1"/>
  <c r="D4" i="3"/>
  <c r="E24" i="3" s="1"/>
  <c r="C4" i="3"/>
  <c r="D24" i="3" s="1"/>
  <c r="B4" i="3"/>
  <c r="C24" i="3" s="1"/>
  <c r="E1" i="3"/>
  <c r="L11" i="1"/>
  <c r="L10" i="1"/>
  <c r="L9" i="1"/>
  <c r="L8" i="1"/>
  <c r="L7" i="1"/>
  <c r="L5" i="1"/>
  <c r="K18" i="1"/>
  <c r="J18" i="1"/>
  <c r="I18" i="1"/>
  <c r="H18" i="1"/>
  <c r="G18" i="1"/>
  <c r="F18" i="1"/>
  <c r="E18" i="1"/>
  <c r="D18" i="1"/>
  <c r="C18" i="1"/>
  <c r="B18" i="1"/>
  <c r="L15" i="1"/>
  <c r="K15" i="1"/>
  <c r="J15" i="1"/>
  <c r="I15" i="1"/>
  <c r="H15" i="1"/>
  <c r="G15" i="1"/>
  <c r="F15" i="1"/>
  <c r="E15" i="1"/>
  <c r="D15" i="1"/>
  <c r="C15" i="1"/>
  <c r="B15" i="1"/>
  <c r="J14" i="1"/>
  <c r="B14" i="1"/>
  <c r="K13" i="1"/>
  <c r="K14" i="1" s="1"/>
  <c r="J13" i="1"/>
  <c r="C13" i="1"/>
  <c r="C14" i="1" s="1"/>
  <c r="B13" i="1"/>
  <c r="L12" i="1"/>
  <c r="L13" i="1" s="1"/>
  <c r="L14" i="1" s="1"/>
  <c r="L25" i="1" s="1"/>
  <c r="K12" i="1"/>
  <c r="J12" i="1"/>
  <c r="I12" i="1"/>
  <c r="I13" i="1" s="1"/>
  <c r="H12" i="1"/>
  <c r="H13" i="1" s="1"/>
  <c r="G12" i="1"/>
  <c r="G23" i="3" s="1"/>
  <c r="F12" i="1"/>
  <c r="F13" i="1" s="1"/>
  <c r="F14" i="1" s="1"/>
  <c r="E12" i="1"/>
  <c r="E13" i="1" s="1"/>
  <c r="E14" i="1" s="1"/>
  <c r="D12" i="1"/>
  <c r="D13" i="1" s="1"/>
  <c r="D14" i="1" s="1"/>
  <c r="C12" i="1"/>
  <c r="B12" i="1"/>
  <c r="K11" i="1"/>
  <c r="J11" i="1"/>
  <c r="I11" i="1"/>
  <c r="H11" i="1"/>
  <c r="G11" i="1"/>
  <c r="F11" i="1"/>
  <c r="E11" i="1"/>
  <c r="D11" i="1"/>
  <c r="C11" i="1"/>
  <c r="B11" i="1"/>
  <c r="K10" i="1"/>
  <c r="J10" i="1"/>
  <c r="I10" i="1"/>
  <c r="H10" i="1"/>
  <c r="G10" i="1"/>
  <c r="F10" i="1"/>
  <c r="E10" i="1"/>
  <c r="D10" i="1"/>
  <c r="C10" i="1"/>
  <c r="B10" i="1"/>
  <c r="K9" i="1"/>
  <c r="J9" i="1"/>
  <c r="I9" i="1"/>
  <c r="H9" i="1"/>
  <c r="G9" i="1"/>
  <c r="F9" i="1"/>
  <c r="E9" i="1"/>
  <c r="D9" i="1"/>
  <c r="C9" i="1"/>
  <c r="B9" i="1"/>
  <c r="K8" i="1"/>
  <c r="J8" i="1"/>
  <c r="I8" i="1"/>
  <c r="H8" i="1"/>
  <c r="G8" i="1"/>
  <c r="F8" i="1"/>
  <c r="E8" i="1"/>
  <c r="D8" i="1"/>
  <c r="C8" i="1"/>
  <c r="B8" i="1"/>
  <c r="K7" i="1"/>
  <c r="J7" i="1"/>
  <c r="I7" i="1"/>
  <c r="H7" i="1"/>
  <c r="G7" i="1"/>
  <c r="F7" i="1"/>
  <c r="E7" i="1"/>
  <c r="D7" i="1"/>
  <c r="C7" i="1"/>
  <c r="B7" i="1"/>
  <c r="H6" i="1"/>
  <c r="H19" i="1" s="1"/>
  <c r="D6" i="1"/>
  <c r="D19" i="1" s="1"/>
  <c r="K5" i="1"/>
  <c r="J5" i="1"/>
  <c r="I5" i="1"/>
  <c r="I6" i="1" s="1"/>
  <c r="I19" i="1" s="1"/>
  <c r="H5" i="1"/>
  <c r="G5" i="1"/>
  <c r="F5" i="1"/>
  <c r="E5" i="1"/>
  <c r="E6" i="1" s="1"/>
  <c r="E19" i="1" s="1"/>
  <c r="D5" i="1"/>
  <c r="C5" i="1"/>
  <c r="B5" i="1"/>
  <c r="L4" i="1"/>
  <c r="K4" i="1"/>
  <c r="K23" i="1" s="1"/>
  <c r="J4" i="1"/>
  <c r="J6" i="1" s="1"/>
  <c r="J19" i="1" s="1"/>
  <c r="I4" i="1"/>
  <c r="I20" i="3" s="1"/>
  <c r="H4" i="1"/>
  <c r="H20" i="3" s="1"/>
  <c r="G4" i="1"/>
  <c r="G6" i="1" s="1"/>
  <c r="G19" i="1" s="1"/>
  <c r="F4" i="1"/>
  <c r="F21" i="3" s="1"/>
  <c r="E4" i="1"/>
  <c r="D4" i="1"/>
  <c r="C4" i="1"/>
  <c r="C6" i="1" s="1"/>
  <c r="C19" i="1" s="1"/>
  <c r="B4" i="1"/>
  <c r="H1" i="1"/>
  <c r="A1" i="1"/>
  <c r="A1" i="3" s="1"/>
  <c r="A1" i="4" s="1"/>
  <c r="N11" i="1" l="1"/>
  <c r="M11" i="1"/>
  <c r="H14" i="1"/>
  <c r="I14" i="1"/>
  <c r="K25" i="1" s="1"/>
  <c r="M25" i="1" s="1"/>
  <c r="M14" i="1" s="1"/>
  <c r="I24" i="1"/>
  <c r="N8" i="1"/>
  <c r="M8" i="1"/>
  <c r="N9" i="1"/>
  <c r="M9" i="1"/>
  <c r="K6" i="1"/>
  <c r="K19" i="1" s="1"/>
  <c r="J24" i="1" s="1"/>
  <c r="L23" i="1"/>
  <c r="M23" i="1" s="1"/>
  <c r="M4" i="1" s="1"/>
  <c r="I23" i="3"/>
  <c r="J23" i="3"/>
  <c r="B6" i="1"/>
  <c r="B19" i="1" s="1"/>
  <c r="H24" i="1" s="1"/>
  <c r="G21" i="3"/>
  <c r="L6" i="1"/>
  <c r="L19" i="1" s="1"/>
  <c r="L24" i="1" s="1"/>
  <c r="G13" i="1"/>
  <c r="G14" i="1" s="1"/>
  <c r="J25" i="1" s="1"/>
  <c r="F20" i="3"/>
  <c r="G20" i="3"/>
  <c r="J20" i="3"/>
  <c r="K20" i="3"/>
  <c r="K24" i="1"/>
  <c r="F6" i="1"/>
  <c r="F19" i="1" s="1"/>
  <c r="H23" i="1"/>
  <c r="E23" i="3"/>
  <c r="I23" i="1"/>
  <c r="I24" i="3"/>
  <c r="J23" i="1"/>
  <c r="N24" i="1" l="1"/>
  <c r="H25" i="1"/>
  <c r="N23" i="1"/>
  <c r="N4" i="1" s="1"/>
  <c r="M24" i="1"/>
  <c r="M6" i="1" s="1"/>
  <c r="I25" i="1"/>
  <c r="M10" i="1" l="1"/>
  <c r="M12" i="1" s="1"/>
  <c r="M13" i="1" s="1"/>
  <c r="M15" i="1" s="1"/>
  <c r="M5" i="1"/>
  <c r="N6" i="1"/>
  <c r="N10" i="1" s="1"/>
  <c r="N12" i="1" s="1"/>
  <c r="N13" i="1" s="1"/>
  <c r="N25" i="1"/>
  <c r="N14" i="1" s="1"/>
  <c r="N15" i="1" l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EE07F-C320-47D9-95BE-C85087E32A65}" keepAlive="1" name="Query - Annual" description="Connection to the 'Annual' query in the workbook." type="5" refreshedVersion="8" background="1" saveData="1">
    <dbPr connection="Provider=Microsoft.Mashup.OleDb.1;Data Source=$Workbook$;Location=Annual;Extended Properties=&quot;&quot;" command="SELECT * FROM [Annual]"/>
  </connection>
  <connection id="2" xr16:uid="{939BF215-5C4C-4ECB-B563-21C25F354013}" keepAlive="1" name="Query - Quarters" description="Connection to the 'Quarters' query in the workbook." type="5" refreshedVersion="8" background="1" saveData="1">
    <dbPr connection="Provider=Microsoft.Mashup.OleDb.1;Data Source=$Workbook$;Location=Quarters;Extended Properties=&quot;&quot;" command="SELECT * FROM [Quarters]"/>
  </connection>
  <connection id="3" xr16:uid="{A0F76457-B9F9-4E9F-8AAD-7E5AD37CF988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4" xr16:uid="{222037B2-5007-4B41-8D0C-958531999484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<sst xmlns="http://schemas.openxmlformats.org/spreadsheetml/2006/main" count="234" uniqueCount="107">
  <si>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</si>
  <si>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</si>
  <si>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</si>
  <si>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</si>
  <si>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</si>
  <si>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</si>
  <si>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</si>
  <si>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</si>
  <si>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</si>
  <si>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</si>
  <si>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</si>
  <si>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</si>
  <si>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</si>
  <si>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</si>
  <si>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</si>
  <si>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</si>
  <si>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</si>
  <si>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</si>
  <si>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</si>
  <si>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</si>
  <si>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</si>
  <si>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</si>
  <si>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</si>
  <si>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</si>
  <si>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</si>
  <si>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</si>
  <si>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</si>
  <si>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</si>
  <si>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</si>
  <si>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</si>
  <si>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</si>
  <si>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</si>
  <si>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</si>
  <si>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</si>
  <si>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</si>
  <si>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</si>
  <si>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</si>
  <si>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</si>
  <si>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</si>
  <si>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</si>
  <si>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</si>
  <si>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</si>
  <si>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</si>
  <si>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</si>
  <si>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</si>
  <si>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</si>
  <si>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</si>
  <si>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</si>
  <si>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</si>
  <si>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</si>
  <si>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COMPANY NAME</t>
  </si>
  <si>
    <t>MAHINDRA &amp; MAHINDRA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</si>
  <si>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</si>
  <si>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</si>
  <si>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</si>
  <si>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</si>
  <si>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</si>
  <si>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</si>
  <si>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</si>
  <si>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</si>
  <si>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</si>
  <si>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</si>
  <si>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</si>
  <si>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</si>
  <si>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</si>
  <si>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</si>
  <si>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</si>
  <si>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</si>
  <si>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</si>
  <si>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</si>
  <si>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</si>
  <si>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</si>
  <si>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</si>
  <si>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</si>
  <si>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</si>
  <si>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</si>
  <si>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</si>
  <si>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</si>
  <si>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</si>
  <si>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</si>
  <si>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</si>
  <si>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Mahindra &amp; Mahindra Ltd | Financial Dashboard</t>
  </si>
  <si>
    <t>Annual performance snapshot • FY16 to FY25 • Source: Data Sheet</t>
  </si>
  <si>
    <t>FY25 Sales</t>
  </si>
  <si>
    <t>FY25 Operating Profit</t>
  </si>
  <si>
    <t>FY25 Net Profit</t>
  </si>
  <si>
    <t>FY25 OPM</t>
  </si>
  <si>
    <t>FY25 Cash from Ops</t>
  </si>
  <si>
    <t>FY25 Current Price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</si>
  <si>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</si>
  <si>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</si>
  <si>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</si>
  <si>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</si>
  <si>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</si>
  <si>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</si>
  <si>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</si>
  <si>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</si>
  <si>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</si>
  <si>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Mar-25</t>
  </si>
  <si>
    <t>Column7</t>
  </si>
  <si>
    <t>Column11</t>
  </si>
  <si>
    <t>Total_1</t>
  </si>
  <si>
    <t>Column13</t>
  </si>
  <si>
    <t>Column17</t>
  </si>
  <si>
    <t>Column20</t>
  </si>
  <si>
    <t>Net Profit Margin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</si>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</sst>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 * #,##0.00_ ;_ * \-#,##0.00_ ;_ * &quot;-&quot;??_ ;_ @_ "/>
    <numFmt numFmtId="166" formatCode="[$-409]mmm\-yy;@"/>
    <numFmt numFmtId="167" formatCode="0.0%"/>
  </numFmts>
  <fonts count="15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0"/>
      <name val="Calibri"/>
    </font>
    <font>
      <sz val="11"/>
      <color theme="0"/>
      <name val="Calibri"/>
    </font>
    <font>
      <b/>
      <sz val="11"/>
      <color rgb="FFFF0000"/>
      <name val="Calibri"/>
    </font>
    <font>
      <sz val="11"/>
      <name val="Calibri"/>
    </font>
    <font>
      <b/>
      <sz val="16"/>
      <color rgb="FF111827"/>
      <name val="Calibri"/>
    </font>
    <font>
      <sz val="11"/>
      <color theme="1"/>
      <name val="Calibri"/>
      <family val="2"/>
    </font>
    <font>
      <sz val="8"/>
      <name val="Calibri"/>
      <family val="2"/>
    </font>
    <font>
      <b/>
      <u/>
      <sz val="28"/>
      <color rgb="FF1F2937"/>
      <name val="Calibri"/>
      <family val="2"/>
    </font>
    <font>
      <b/>
      <sz val="14"/>
      <color rgb="FF6B7280"/>
      <name val="Calibri"/>
      <family val="2"/>
    </font>
    <font>
      <b/>
      <sz val="14"/>
      <color theme="1"/>
      <name val="Calibri"/>
      <family val="2"/>
    </font>
    <font>
      <b/>
      <sz val="12"/>
      <color rgb="FF4B556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6E2F0"/>
      </left>
      <right/>
      <top style="thin">
        <color rgb="FFD6E2F0"/>
      </top>
      <bottom/>
      <diagonal/>
    </border>
    <border>
      <left/>
      <right style="thin">
        <color rgb="FFD6E2F0"/>
      </right>
      <top style="thin">
        <color rgb="FFD6E2F0"/>
      </top>
      <bottom/>
      <diagonal/>
    </border>
    <border>
      <left style="thin">
        <color rgb="FFD6E2F0"/>
      </left>
      <right/>
      <top/>
      <bottom style="thin">
        <color rgb="FFD6E2F0"/>
      </bottom>
      <diagonal/>
    </border>
    <border>
      <left/>
      <right style="thin">
        <color rgb="FFD6E2F0"/>
      </right>
      <top/>
      <bottom style="thin">
        <color rgb="FFD6E2F0"/>
      </bottom>
      <diagonal/>
    </border>
    <border>
      <left style="thin">
        <color rgb="FFD6E2F0"/>
      </left>
      <right/>
      <top style="thin">
        <color rgb="FFD6E2F0"/>
      </top>
      <bottom/>
      <diagonal/>
    </border>
    <border>
      <left/>
      <right/>
      <top style="thin">
        <color rgb="FFD6E2F0"/>
      </top>
      <bottom/>
      <diagonal/>
    </border>
    <border>
      <left/>
      <right style="thin">
        <color rgb="FFD6E2F0"/>
      </right>
      <top style="thin">
        <color rgb="FFD6E2F0"/>
      </top>
      <bottom/>
      <diagonal/>
    </border>
    <border>
      <left style="thin">
        <color rgb="FFD6E2F0"/>
      </left>
      <right/>
      <top/>
      <bottom style="thin">
        <color rgb="FFD6E2F0"/>
      </bottom>
      <diagonal/>
    </border>
    <border>
      <left/>
      <right/>
      <top/>
      <bottom style="thin">
        <color rgb="FFD6E2F0"/>
      </bottom>
      <diagonal/>
    </border>
    <border>
      <left/>
      <right style="thin">
        <color rgb="FFD6E2F0"/>
      </right>
      <top/>
      <bottom style="thin">
        <color rgb="FFD6E2F0"/>
      </bottom>
      <diagonal/>
    </border>
    <border>
      <left style="thin">
        <color rgb="FFD6E2F0"/>
      </left>
      <right/>
      <top/>
      <bottom/>
      <diagonal/>
    </border>
    <border>
      <left/>
      <right style="thin">
        <color rgb="FFD6E2F0"/>
      </right>
      <top/>
      <bottom/>
      <diagonal/>
    </border>
  </borders>
  <cellStyleXfs count="8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165" fontId="1" fillId="0" borderId="0" xfId="1" applyFont="1" applyBorder="1"/>
    <xf numFmtId="0" fontId="1" fillId="0" borderId="0" xfId="0" applyFont="1"/>
    <xf numFmtId="0" fontId="6" fillId="0" borderId="0" xfId="0" applyFont="1"/>
    <xf numFmtId="165" fontId="0" fillId="0" borderId="0" xfId="1" applyFont="1" applyBorder="1"/>
    <xf numFmtId="10" fontId="0" fillId="0" borderId="0" xfId="0" applyNumberFormat="1"/>
    <xf numFmtId="165" fontId="3" fillId="0" borderId="0" xfId="1" applyFont="1" applyBorder="1"/>
    <xf numFmtId="9" fontId="3" fillId="0" borderId="0" xfId="1" applyNumberFormat="1" applyFont="1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6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5" fontId="0" fillId="0" borderId="0" xfId="1" applyFont="1" applyBorder="1" applyAlignment="1">
      <alignment horizontal="center"/>
    </xf>
    <xf numFmtId="165" fontId="1" fillId="0" borderId="0" xfId="1" applyFont="1" applyBorder="1" applyAlignment="1">
      <alignment horizontal="center"/>
    </xf>
    <xf numFmtId="10" fontId="1" fillId="0" borderId="0" xfId="0" applyNumberFormat="1" applyFont="1"/>
    <xf numFmtId="166" fontId="2" fillId="5" borderId="0" xfId="1" applyNumberFormat="1" applyFont="1" applyFill="1" applyBorder="1"/>
    <xf numFmtId="166" fontId="7" fillId="0" borderId="0" xfId="1" applyNumberFormat="1" applyFont="1" applyFill="1" applyBorder="1"/>
    <xf numFmtId="164" fontId="0" fillId="0" borderId="0" xfId="1" applyNumberFormat="1" applyFont="1" applyBorder="1"/>
    <xf numFmtId="165" fontId="4" fillId="0" borderId="0" xfId="2" applyNumberFormat="1" applyBorder="1" applyAlignment="1">
      <alignment horizontal="center"/>
    </xf>
    <xf numFmtId="165" fontId="2" fillId="4" borderId="0" xfId="5" applyNumberFormat="1" applyFont="1" applyBorder="1" applyAlignment="1">
      <alignment horizontal="center"/>
    </xf>
    <xf numFmtId="0" fontId="0" fillId="0" borderId="0" xfId="0" applyNumberFormat="1"/>
    <xf numFmtId="0" fontId="9" fillId="0" borderId="0" xfId="0" applyFont="1"/>
    <xf numFmtId="9" fontId="0" fillId="0" borderId="0" xfId="7" applyFont="1"/>
    <xf numFmtId="10" fontId="0" fillId="0" borderId="0" xfId="7" applyNumberFormat="1" applyFont="1"/>
    <xf numFmtId="14" fontId="0" fillId="0" borderId="0" xfId="0" applyNumberFormat="1"/>
    <xf numFmtId="0" fontId="0" fillId="6" borderId="0" xfId="0" applyFill="1"/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" fontId="8" fillId="7" borderId="11" xfId="0" applyNumberFormat="1" applyFont="1" applyFill="1" applyBorder="1" applyAlignment="1">
      <alignment horizontal="center" vertical="center"/>
    </xf>
    <xf numFmtId="4" fontId="8" fillId="7" borderId="12" xfId="0" applyNumberFormat="1" applyFont="1" applyFill="1" applyBorder="1" applyAlignment="1">
      <alignment horizontal="center" vertical="center"/>
    </xf>
    <xf numFmtId="167" fontId="8" fillId="7" borderId="11" xfId="0" applyNumberFormat="1" applyFont="1" applyFill="1" applyBorder="1" applyAlignment="1">
      <alignment horizontal="center" vertical="center"/>
    </xf>
    <xf numFmtId="167" fontId="8" fillId="7" borderId="12" xfId="0" applyNumberFormat="1" applyFont="1" applyFill="1" applyBorder="1" applyAlignment="1">
      <alignment horizontal="center" vertical="center"/>
    </xf>
    <xf numFmtId="4" fontId="8" fillId="7" borderId="3" xfId="0" applyNumberFormat="1" applyFont="1" applyFill="1" applyBorder="1" applyAlignment="1">
      <alignment horizontal="center" vertical="center"/>
    </xf>
    <xf numFmtId="4" fontId="8" fillId="7" borderId="4" xfId="0" applyNumberFormat="1" applyFont="1" applyFill="1" applyBorder="1" applyAlignment="1">
      <alignment horizontal="center" vertical="center"/>
    </xf>
    <xf numFmtId="167" fontId="8" fillId="7" borderId="3" xfId="0" applyNumberFormat="1" applyFont="1" applyFill="1" applyBorder="1" applyAlignment="1">
      <alignment horizontal="center" vertical="center"/>
    </xf>
    <xf numFmtId="167" fontId="8" fillId="7" borderId="4" xfId="0" applyNumberFormat="1" applyFont="1" applyFill="1" applyBorder="1" applyAlignment="1">
      <alignment horizontal="center" vertical="center"/>
    </xf>
  </cellXfs>
  <cellStyles count="8">
    <cellStyle name="60% - Accent1" xfId="3" xr:uid="{00000000-0005-0000-0000-000000000000}"/>
    <cellStyle name="60% - Accent3" xfId="4" xr:uid="{00000000-0005-0000-0000-000001000000}"/>
    <cellStyle name="Accent6" xfId="5" xr:uid="{00000000-0005-0000-0000-000002000000}"/>
    <cellStyle name="Comma" xfId="1" xr:uid="{00000000-0005-0000-0000-000003000000}"/>
    <cellStyle name="Hyperlink" xfId="2" xr:uid="{00000000-0005-0000-0000-000004000000}"/>
    <cellStyle name="Normal" xfId="0" builtinId="0"/>
    <cellStyle name="Per cent" xfId="6" xr:uid="{00000000-0005-0000-0000-000006000000}"/>
    <cellStyle name="Percent" xfId="7" builtinId="5"/>
  </cellStyles>
  <dxfs count="8">
    <dxf>
      <font>
        <b/>
        <color theme="0"/>
      </font>
      <fill>
        <patternFill>
          <bgColor theme="5"/>
        </patternFill>
      </fill>
    </dxf>
    <dxf>
      <numFmt numFmtId="13" formatCode="0%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6" formatCode="[$-409]mmm\-yy;@"/>
      <fill>
        <patternFill patternType="solid">
          <fgColor indexed="64"/>
          <bgColor rgb="FF0275D8"/>
        </patternFill>
      </fill>
      <alignment horizontal="center" vertical="bottom" textRotation="0" wrapText="0" indent="0" justifyLastLine="0" shrinkToFit="0" readingOrder="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6" formatCode="[$-409]mmm\-yy;@"/>
      <fill>
        <patternFill patternType="solid">
          <fgColor indexed="64"/>
          <bgColor rgb="FF0275D8"/>
        </patternFill>
      </fill>
      <alignment horizontal="center" vertical="bottom" textRotation="0" wrapText="0" indent="0" justifyLastLine="0" shrinkToFit="0" readingOrder="0"/>
    </dxf>
    <dxf>
      <numFmt numFmtId="19" formatCode="dd/mm/yy"/>
    </dxf>
    <dxf>
      <numFmt numFmtId="0" formatCode="General"/>
    </dxf>
  </dxfs>
  <tableStyles count="1" defaultTableStyle="TableStyleMedium2" defaultPivotStyle="PivotStyleLight16">
    <tableStyle name="Invisible" pivot="0" table="0" count="0" xr9:uid="{3B5A15D2-FF17-41C9-88AF-5439FCAA73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Margin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Annual!$P$1</c:f>
              <c:strCache>
                <c:ptCount val="1"/>
                <c:pt idx="0">
                  <c:v>OPM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Annual!$P$2:$P$11</c:f>
              <c:numCache>
                <c:formatCode>0.00%</c:formatCode>
                <c:ptCount val="10"/>
                <c:pt idx="0">
                  <c:v>0.1329410762614939</c:v>
                </c:pt>
                <c:pt idx="1">
                  <c:v>0.12814180694149255</c:v>
                </c:pt>
                <c:pt idx="2">
                  <c:v>0.143615297204648</c:v>
                </c:pt>
                <c:pt idx="3">
                  <c:v>0.14521019153045986</c:v>
                </c:pt>
                <c:pt idx="4">
                  <c:v>0.13475046340681363</c:v>
                </c:pt>
                <c:pt idx="5">
                  <c:v>0.15464947929246142</c:v>
                </c:pt>
                <c:pt idx="6">
                  <c:v>0.16283417083866741</c:v>
                </c:pt>
                <c:pt idx="7">
                  <c:v>0.16727576935652336</c:v>
                </c:pt>
                <c:pt idx="8">
                  <c:v>0.17897785182401243</c:v>
                </c:pt>
                <c:pt idx="9">
                  <c:v>0.19168414558759261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F-4AAE-B21C-4F3E648EED02}"/>
            </c:ext>
          </c:extLst>
        </c:ser>
        <c:ser>
          <c:idx val="1"/>
          <c:order val="1"/>
          <c:tx>
            <c:strRef>
              <c:f>Annual!$Q$1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Annual!$Q$2:$Q$11</c:f>
              <c:numCache>
                <c:formatCode>0%</c:formatCode>
                <c:ptCount val="10"/>
                <c:pt idx="0">
                  <c:v>4.1513331369586695E-2</c:v>
                </c:pt>
                <c:pt idx="1">
                  <c:v>4.4143552132815983E-2</c:v>
                </c:pt>
                <c:pt idx="2">
                  <c:v>8.1551393984078221E-2</c:v>
                </c:pt>
                <c:pt idx="3">
                  <c:v>5.0758455731952853E-2</c:v>
                </c:pt>
                <c:pt idx="4">
                  <c:v>1.6852845237578823E-3</c:v>
                </c:pt>
                <c:pt idx="5">
                  <c:v>2.4401510115138067E-2</c:v>
                </c:pt>
                <c:pt idx="6">
                  <c:v>7.2943089968267913E-2</c:v>
                </c:pt>
                <c:pt idx="7">
                  <c:v>8.4782905378187501E-2</c:v>
                </c:pt>
                <c:pt idx="8">
                  <c:v>8.1023728581035709E-2</c:v>
                </c:pt>
                <c:pt idx="9">
                  <c:v>8.1207420450444254E-2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F-4AAE-B21C-4F3E648EE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665888"/>
        <c:axId val="415671168"/>
      </c:lineChart>
      <c:catAx>
        <c:axId val="41566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1168"/>
        <c:crosses val="autoZero"/>
        <c:auto val="1"/>
        <c:lblAlgn val="ctr"/>
        <c:lblOffset val="100"/>
        <c:noMultiLvlLbl val="0"/>
      </c:catAx>
      <c:valAx>
        <c:axId val="4156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Expense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Annual!$B$1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Annual!$B$2:$B$11</c:f>
              <c:numCache>
                <c:formatCode>General</c:formatCode>
                <c:ptCount val="10"/>
                <c:pt idx="0">
                  <c:v>75841.42</c:v>
                </c:pt>
                <c:pt idx="1">
                  <c:v>83773.05</c:v>
                </c:pt>
                <c:pt idx="2">
                  <c:v>92093.95</c:v>
                </c:pt>
                <c:pt idx="3">
                  <c:v>104720.68</c:v>
                </c:pt>
                <c:pt idx="4">
                  <c:v>75381.929999999993</c:v>
                </c:pt>
                <c:pt idx="5">
                  <c:v>74277.78</c:v>
                </c:pt>
                <c:pt idx="6">
                  <c:v>90170.57</c:v>
                </c:pt>
                <c:pt idx="7">
                  <c:v>121268.55</c:v>
                </c:pt>
                <c:pt idx="8">
                  <c:v>139078.26999999999</c:v>
                </c:pt>
                <c:pt idx="9">
                  <c:v>159210.82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D-4AAC-92FB-BC41DF65A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708128"/>
        <c:axId val="415709088"/>
      </c:barChart>
      <c:lineChart>
        <c:grouping val="standard"/>
        <c:varyColors val="0"/>
        <c:ser>
          <c:idx val="1"/>
          <c:order val="1"/>
          <c:tx>
            <c:strRef>
              <c:f>Annual!$C$1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Annual!$C$2:$C$11</c:f>
              <c:numCache>
                <c:formatCode>General</c:formatCode>
                <c:ptCount val="10"/>
                <c:pt idx="0">
                  <c:v>65758.98000000001</c:v>
                </c:pt>
                <c:pt idx="1">
                  <c:v>73038.22</c:v>
                </c:pt>
                <c:pt idx="2">
                  <c:v>78867.850000000006</c:v>
                </c:pt>
                <c:pt idx="3">
                  <c:v>89514.17</c:v>
                </c:pt>
                <c:pt idx="4">
                  <c:v>65224.180000000008</c:v>
                </c:pt>
                <c:pt idx="5">
                  <c:v>62790.759999999995</c:v>
                </c:pt>
                <c:pt idx="6">
                  <c:v>75487.719999999987</c:v>
                </c:pt>
                <c:pt idx="7">
                  <c:v>100983.25999999998</c:v>
                </c:pt>
                <c:pt idx="8">
                  <c:v>114186.34</c:v>
                </c:pt>
                <c:pt idx="9">
                  <c:v>128692.63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D-4AAC-92FB-BC41DF65A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708128"/>
        <c:axId val="415709088"/>
      </c:lineChart>
      <c:catAx>
        <c:axId val="4157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09088"/>
        <c:crosses val="autoZero"/>
        <c:auto val="1"/>
        <c:lblAlgn val="ctr"/>
        <c:lblOffset val="100"/>
        <c:noMultiLvlLbl val="0"/>
      </c:catAx>
      <c:valAx>
        <c:axId val="4157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FY25 Operating Cost Structure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FY25</c:v>
          </c:tx>
          <c:invertIfNegative val="1"/>
          <c:cat>
            <c:strLit>
              <c:ptCount val="7"/>
              <c:pt idx="0">
                <c:v>Raw Material</c:v>
              </c:pt>
              <c:pt idx="1">
                <c:v>Employee Cost</c:v>
              </c:pt>
              <c:pt idx="2">
                <c:v>Selling &amp; Admin</c:v>
              </c:pt>
              <c:pt idx="3">
                <c:v>Other Expenses</c:v>
              </c:pt>
              <c:pt idx="4">
                <c:v>Other Mfr. Exp</c:v>
              </c:pt>
              <c:pt idx="5">
                <c:v>Power &amp; Fuel</c:v>
              </c:pt>
              <c:pt idx="6">
                <c:v>Change in Inventory</c:v>
              </c:pt>
            </c:strLit>
          </c:cat>
          <c:val>
            <c:numLit>
              <c:formatCode>General</c:formatCode>
              <c:ptCount val="7"/>
              <c:pt idx="0">
                <c:v>95754.9</c:v>
              </c:pt>
              <c:pt idx="1">
                <c:v>11126.17</c:v>
              </c:pt>
              <c:pt idx="2">
                <c:v>10811.4</c:v>
              </c:pt>
              <c:pt idx="3">
                <c:v>6017.71</c:v>
              </c:pt>
              <c:pt idx="4">
                <c:v>4162.28</c:v>
              </c:pt>
              <c:pt idx="5">
                <c:v>832.35</c:v>
              </c:pt>
              <c:pt idx="6">
                <c:v>12.18</c:v>
              </c:pt>
            </c:numLit>
          </c:val>
          <c:extLst>
            <c:ext xmlns:c16="http://schemas.microsoft.com/office/drawing/2014/chart" uri="{C3380CC4-5D6E-409C-BE32-E72D297353CC}">
              <c16:uniqueId val="{00000000-5F5E-4243-8BBC-ADE6DDB39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Borrowings vs Reserves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Borrowings</c:v>
          </c:tx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41552.93</c:v>
              </c:pt>
              <c:pt idx="1">
                <c:v>48761.91</c:v>
              </c:pt>
              <c:pt idx="2">
                <c:v>55897.919999999998</c:v>
              </c:pt>
              <c:pt idx="3">
                <c:v>70848.3</c:v>
              </c:pt>
              <c:pt idx="4">
                <c:v>82092.28</c:v>
              </c:pt>
              <c:pt idx="5">
                <c:v>80624.83</c:v>
              </c:pt>
              <c:pt idx="6">
                <c:v>77605.210000000006</c:v>
              </c:pt>
              <c:pt idx="7">
                <c:v>92246.85</c:v>
              </c:pt>
              <c:pt idx="8">
                <c:v>108647.25</c:v>
              </c:pt>
              <c:pt idx="9">
                <c:v>129024.58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87A-4B3D-B928-62DFB2CE3517}"/>
            </c:ext>
          </c:extLst>
        </c:ser>
        <c:ser>
          <c:idx val="1"/>
          <c:order val="1"/>
          <c:tx>
            <c:v>Reserves</c:v>
          </c:tx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26222.25</c:v>
              </c:pt>
              <c:pt idx="1">
                <c:v>29467.1</c:v>
              </c:pt>
              <c:pt idx="2">
                <c:v>36232.06</c:v>
              </c:pt>
              <c:pt idx="3">
                <c:v>39439.449999999997</c:v>
              </c:pt>
              <c:pt idx="4">
                <c:v>39415.03</c:v>
              </c:pt>
              <c:pt idx="5">
                <c:v>41026.769999999997</c:v>
              </c:pt>
              <c:pt idx="6">
                <c:v>46566.58</c:v>
              </c:pt>
              <c:pt idx="7">
                <c:v>55808.97</c:v>
              </c:pt>
              <c:pt idx="8">
                <c:v>65633.17</c:v>
              </c:pt>
              <c:pt idx="9">
                <c:v>76480.710000000006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87A-4B3D-B928-62DFB2CE3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Cash Flow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Operating CF</c:v>
          </c:tx>
          <c:invertIfNegative val="1"/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-5505.97</c:v>
              </c:pt>
              <c:pt idx="1">
                <c:v>-5875.29</c:v>
              </c:pt>
              <c:pt idx="2">
                <c:v>-5467.22</c:v>
              </c:pt>
              <c:pt idx="3">
                <c:v>-7173.97</c:v>
              </c:pt>
              <c:pt idx="4">
                <c:v>-6869.79</c:v>
              </c:pt>
              <c:pt idx="5">
                <c:v>-19685.5</c:v>
              </c:pt>
              <c:pt idx="6">
                <c:v>-3251.95</c:v>
              </c:pt>
              <c:pt idx="7">
                <c:v>-8866.27</c:v>
              </c:pt>
              <c:pt idx="8">
                <c:v>-5614.77</c:v>
              </c:pt>
              <c:pt idx="9">
                <c:v>-18616.13</c:v>
              </c:pt>
            </c:numLit>
          </c:val>
          <c:extLst>
            <c:ext xmlns:c16="http://schemas.microsoft.com/office/drawing/2014/chart" uri="{C3380CC4-5D6E-409C-BE32-E72D297353CC}">
              <c16:uniqueId val="{00000000-9A49-48CE-94C0-1DB2E70A809D}"/>
            </c:ext>
          </c:extLst>
        </c:ser>
        <c:ser>
          <c:idx val="1"/>
          <c:order val="1"/>
          <c:tx>
            <c:v>Investing CF</c:v>
          </c:tx>
          <c:invertIfNegative val="1"/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2966.81</c:v>
              </c:pt>
              <c:pt idx="1">
                <c:v>6107.97</c:v>
              </c:pt>
              <c:pt idx="2">
                <c:v>6314.5</c:v>
              </c:pt>
              <c:pt idx="3">
                <c:v>13193.63</c:v>
              </c:pt>
              <c:pt idx="4">
                <c:v>6932.75</c:v>
              </c:pt>
              <c:pt idx="5">
                <c:v>406.23</c:v>
              </c:pt>
              <c:pt idx="6">
                <c:v>-5882.6</c:v>
              </c:pt>
              <c:pt idx="7">
                <c:v>15946.11</c:v>
              </c:pt>
              <c:pt idx="8">
                <c:v>12281.41</c:v>
              </c:pt>
              <c:pt idx="9">
                <c:v>15834.11</c:v>
              </c:pt>
            </c:numLit>
          </c:val>
          <c:extLst>
            <c:ext xmlns:c16="http://schemas.microsoft.com/office/drawing/2014/chart" uri="{C3380CC4-5D6E-409C-BE32-E72D297353CC}">
              <c16:uniqueId val="{00000001-9A49-48CE-94C0-1DB2E70A809D}"/>
            </c:ext>
          </c:extLst>
        </c:ser>
        <c:ser>
          <c:idx val="2"/>
          <c:order val="2"/>
          <c:tx>
            <c:v>Financing CF</c:v>
          </c:tx>
          <c:invertIfNegative val="1"/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-154.4</c:v>
              </c:pt>
              <c:pt idx="1">
                <c:v>415.77</c:v>
              </c:pt>
              <c:pt idx="2">
                <c:v>1529.14</c:v>
              </c:pt>
              <c:pt idx="3">
                <c:v>1672.37</c:v>
              </c:pt>
              <c:pt idx="4">
                <c:v>-1393.97</c:v>
              </c:pt>
              <c:pt idx="5">
                <c:v>-1370.44</c:v>
              </c:pt>
              <c:pt idx="6">
                <c:v>113</c:v>
              </c:pt>
              <c:pt idx="7">
                <c:v>5.82</c:v>
              </c:pt>
              <c:pt idx="8">
                <c:v>1036.69</c:v>
              </c:pt>
              <c:pt idx="9">
                <c:v>393.79</c:v>
              </c:pt>
            </c:numLit>
          </c:val>
          <c:extLst>
            <c:ext xmlns:c16="http://schemas.microsoft.com/office/drawing/2014/chart" uri="{C3380CC4-5D6E-409C-BE32-E72D297353CC}">
              <c16:uniqueId val="{00000002-9A49-48CE-94C0-1DB2E70A809D}"/>
            </c:ext>
          </c:extLst>
        </c:ser>
        <c:ser>
          <c:idx val="3"/>
          <c:order val="3"/>
          <c:tx>
            <c:v>Net CF</c:v>
          </c:tx>
          <c:invertIfNegative val="1"/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A49-48CE-94C0-1DB2E70A8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ysClr val="windowText" lastClr="000000"/>
                </a:solidFill>
              </a:rPr>
              <a:t>Profit</a:t>
            </a:r>
            <a:r>
              <a:rPr lang="en-IN" sz="1800" b="1" baseline="0">
                <a:solidFill>
                  <a:sysClr val="windowText" lastClr="000000"/>
                </a:solidFill>
              </a:rPr>
              <a:t> Margin Trend</a:t>
            </a:r>
            <a:endParaRPr lang="en-IN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Annual!$P$1</c:f>
              <c:strCache>
                <c:ptCount val="1"/>
                <c:pt idx="0">
                  <c:v>OPM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Annual!$P$2:$P$11</c:f>
              <c:numCache>
                <c:formatCode>0.00%</c:formatCode>
                <c:ptCount val="10"/>
                <c:pt idx="0">
                  <c:v>0.1329410762614939</c:v>
                </c:pt>
                <c:pt idx="1">
                  <c:v>0.12814180694149255</c:v>
                </c:pt>
                <c:pt idx="2">
                  <c:v>0.143615297204648</c:v>
                </c:pt>
                <c:pt idx="3">
                  <c:v>0.14521019153045986</c:v>
                </c:pt>
                <c:pt idx="4">
                  <c:v>0.13475046340681363</c:v>
                </c:pt>
                <c:pt idx="5">
                  <c:v>0.15464947929246142</c:v>
                </c:pt>
                <c:pt idx="6">
                  <c:v>0.16283417083866741</c:v>
                </c:pt>
                <c:pt idx="7">
                  <c:v>0.16727576935652336</c:v>
                </c:pt>
                <c:pt idx="8">
                  <c:v>0.17897785182401243</c:v>
                </c:pt>
                <c:pt idx="9">
                  <c:v>0.19168414558759261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F-45CB-8DE9-299003EA0AA5}"/>
            </c:ext>
          </c:extLst>
        </c:ser>
        <c:ser>
          <c:idx val="1"/>
          <c:order val="1"/>
          <c:tx>
            <c:strRef>
              <c:f>Annual!$Q$1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Annual!$Q$2:$Q$11</c:f>
              <c:numCache>
                <c:formatCode>0%</c:formatCode>
                <c:ptCount val="10"/>
                <c:pt idx="0">
                  <c:v>4.1513331369586695E-2</c:v>
                </c:pt>
                <c:pt idx="1">
                  <c:v>4.4143552132815983E-2</c:v>
                </c:pt>
                <c:pt idx="2">
                  <c:v>8.1551393984078221E-2</c:v>
                </c:pt>
                <c:pt idx="3">
                  <c:v>5.0758455731952853E-2</c:v>
                </c:pt>
                <c:pt idx="4">
                  <c:v>1.6852845237578823E-3</c:v>
                </c:pt>
                <c:pt idx="5">
                  <c:v>2.4401510115138067E-2</c:v>
                </c:pt>
                <c:pt idx="6">
                  <c:v>7.2943089968267913E-2</c:v>
                </c:pt>
                <c:pt idx="7">
                  <c:v>8.4782905378187501E-2</c:v>
                </c:pt>
                <c:pt idx="8">
                  <c:v>8.1023728581035709E-2</c:v>
                </c:pt>
                <c:pt idx="9">
                  <c:v>8.1207420450444254E-2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F-45CB-8DE9-299003EA0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665888"/>
        <c:axId val="415671168"/>
      </c:lineChart>
      <c:catAx>
        <c:axId val="41566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1168"/>
        <c:crosses val="autoZero"/>
        <c:auto val="1"/>
        <c:lblAlgn val="ctr"/>
        <c:lblOffset val="100"/>
        <c:noMultiLvlLbl val="0"/>
      </c:catAx>
      <c:valAx>
        <c:axId val="4156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Expense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Annual!$B$1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Annual!$B$2:$B$11</c:f>
              <c:numCache>
                <c:formatCode>General</c:formatCode>
                <c:ptCount val="10"/>
                <c:pt idx="0">
                  <c:v>75841.42</c:v>
                </c:pt>
                <c:pt idx="1">
                  <c:v>83773.05</c:v>
                </c:pt>
                <c:pt idx="2">
                  <c:v>92093.95</c:v>
                </c:pt>
                <c:pt idx="3">
                  <c:v>104720.68</c:v>
                </c:pt>
                <c:pt idx="4">
                  <c:v>75381.929999999993</c:v>
                </c:pt>
                <c:pt idx="5">
                  <c:v>74277.78</c:v>
                </c:pt>
                <c:pt idx="6">
                  <c:v>90170.57</c:v>
                </c:pt>
                <c:pt idx="7">
                  <c:v>121268.55</c:v>
                </c:pt>
                <c:pt idx="8">
                  <c:v>139078.26999999999</c:v>
                </c:pt>
                <c:pt idx="9">
                  <c:v>159210.82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9-4C56-9F75-06DBB8D9C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708128"/>
        <c:axId val="415709088"/>
      </c:barChart>
      <c:lineChart>
        <c:grouping val="standard"/>
        <c:varyColors val="0"/>
        <c:ser>
          <c:idx val="1"/>
          <c:order val="1"/>
          <c:tx>
            <c:strRef>
              <c:f>Annual!$C$1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Annual!$A$2:$A$11</c:f>
              <c:strCache>
                <c:ptCount val="10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</c:strCache>
            </c:strRef>
          </c:cat>
          <c:val>
            <c:numRef>
              <c:f>Annual!$C$2:$C$11</c:f>
              <c:numCache>
                <c:formatCode>General</c:formatCode>
                <c:ptCount val="10"/>
                <c:pt idx="0">
                  <c:v>65758.98000000001</c:v>
                </c:pt>
                <c:pt idx="1">
                  <c:v>73038.22</c:v>
                </c:pt>
                <c:pt idx="2">
                  <c:v>78867.850000000006</c:v>
                </c:pt>
                <c:pt idx="3">
                  <c:v>89514.17</c:v>
                </c:pt>
                <c:pt idx="4">
                  <c:v>65224.180000000008</c:v>
                </c:pt>
                <c:pt idx="5">
                  <c:v>62790.759999999995</c:v>
                </c:pt>
                <c:pt idx="6">
                  <c:v>75487.719999999987</c:v>
                </c:pt>
                <c:pt idx="7">
                  <c:v>100983.25999999998</c:v>
                </c:pt>
                <c:pt idx="8">
                  <c:v>114186.34</c:v>
                </c:pt>
                <c:pt idx="9">
                  <c:v>128692.63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39-4C56-9F75-06DBB8D9C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708128"/>
        <c:axId val="415709088"/>
      </c:lineChart>
      <c:catAx>
        <c:axId val="4157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09088"/>
        <c:crosses val="autoZero"/>
        <c:auto val="1"/>
        <c:lblAlgn val="ctr"/>
        <c:lblOffset val="100"/>
        <c:noMultiLvlLbl val="0"/>
      </c:catAx>
      <c:valAx>
        <c:axId val="4157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Revenue &amp; Profitability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75841.42</c:v>
              </c:pt>
              <c:pt idx="1">
                <c:v>83773.05</c:v>
              </c:pt>
              <c:pt idx="2">
                <c:v>92093.95</c:v>
              </c:pt>
              <c:pt idx="3">
                <c:v>104720.68</c:v>
              </c:pt>
              <c:pt idx="4">
                <c:v>75381.929999999993</c:v>
              </c:pt>
              <c:pt idx="5">
                <c:v>74277.78</c:v>
              </c:pt>
              <c:pt idx="6">
                <c:v>90170.57</c:v>
              </c:pt>
              <c:pt idx="7">
                <c:v>121268.55</c:v>
              </c:pt>
              <c:pt idx="8">
                <c:v>139078.26999999999</c:v>
              </c:pt>
              <c:pt idx="9">
                <c:v>159210.82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6B0-45AD-AE24-7AB3F8EAEED6}"/>
            </c:ext>
          </c:extLst>
        </c:ser>
        <c:ser>
          <c:idx val="1"/>
          <c:order val="1"/>
          <c:tx>
            <c:v>Operating Profit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5729.58</c:v>
              </c:pt>
              <c:pt idx="1">
                <c:v>6223.98</c:v>
              </c:pt>
              <c:pt idx="2">
                <c:v>6603.91</c:v>
              </c:pt>
              <c:pt idx="3">
                <c:v>7243.12</c:v>
              </c:pt>
              <c:pt idx="4">
                <c:v>7133.4</c:v>
              </c:pt>
              <c:pt idx="5">
                <c:v>8230.73</c:v>
              </c:pt>
              <c:pt idx="6">
                <c:v>7910.94</c:v>
              </c:pt>
              <c:pt idx="7">
                <c:v>8227.7999999999993</c:v>
              </c:pt>
              <c:pt idx="8">
                <c:v>8939.91</c:v>
              </c:pt>
              <c:pt idx="9">
                <c:v>10160.379999999999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6B0-45AD-AE24-7AB3F8EAEED6}"/>
            </c:ext>
          </c:extLst>
        </c:ser>
        <c:ser>
          <c:idx val="2"/>
          <c:order val="2"/>
          <c:tx>
            <c:v>Net Profit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Lit>
              <c:formatCode>General</c:formatCode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numLit>
          </c:cat>
          <c:val>
            <c:numLit>
              <c:formatCode>General</c:formatCode>
              <c:ptCount val="10"/>
              <c:pt idx="0">
                <c:v>2117.5300000000002</c:v>
              </c:pt>
              <c:pt idx="1">
                <c:v>2299.73</c:v>
              </c:pt>
              <c:pt idx="2">
                <c:v>2367.73</c:v>
              </c:pt>
              <c:pt idx="3">
                <c:v>2853.99</c:v>
              </c:pt>
              <c:pt idx="4">
                <c:v>1975.61</c:v>
              </c:pt>
              <c:pt idx="5">
                <c:v>1645.81</c:v>
              </c:pt>
              <c:pt idx="6">
                <c:v>2108.7600000000002</c:v>
              </c:pt>
              <c:pt idx="7">
                <c:v>2685.75</c:v>
              </c:pt>
              <c:pt idx="8">
                <c:v>3707.97</c:v>
              </c:pt>
              <c:pt idx="9">
                <c:v>5006.45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6B0-45AD-AE24-7AB3F8EAE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14</xdr:row>
      <xdr:rowOff>102870</xdr:rowOff>
    </xdr:from>
    <xdr:to>
      <xdr:col>5</xdr:col>
      <xdr:colOff>129540</xdr:colOff>
      <xdr:row>29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B4AA58-62AE-7EB5-F513-9D3672D3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14</xdr:row>
      <xdr:rowOff>80010</xdr:rowOff>
    </xdr:from>
    <xdr:to>
      <xdr:col>10</xdr:col>
      <xdr:colOff>525780</xdr:colOff>
      <xdr:row>29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9822A7-70DB-E31D-8FFC-10498463F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330240</xdr:colOff>
      <xdr:row>8</xdr:row>
      <xdr:rowOff>128040</xdr:rowOff>
    </xdr:from>
    <xdr:ext cx="5400000" cy="324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214080</xdr:colOff>
      <xdr:row>22</xdr:row>
      <xdr:rowOff>51840</xdr:rowOff>
    </xdr:from>
    <xdr:ext cx="5760000" cy="3240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246702</xdr:colOff>
      <xdr:row>8</xdr:row>
      <xdr:rowOff>155293</xdr:rowOff>
    </xdr:from>
    <xdr:ext cx="5760000" cy="3240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0</xdr:colOff>
      <xdr:row>22</xdr:row>
      <xdr:rowOff>51840</xdr:rowOff>
    </xdr:from>
    <xdr:to>
      <xdr:col>11</xdr:col>
      <xdr:colOff>29760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CAD69B-9915-4636-9784-22B46678D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330240</xdr:colOff>
      <xdr:row>22</xdr:row>
      <xdr:rowOff>59460</xdr:rowOff>
    </xdr:from>
    <xdr:to>
      <xdr:col>19</xdr:col>
      <xdr:colOff>0</xdr:colOff>
      <xdr:row>35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9231DF-9CC5-442D-BE66-EECF9DC81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0</xdr:colOff>
      <xdr:row>8</xdr:row>
      <xdr:rowOff>128040</xdr:rowOff>
    </xdr:from>
    <xdr:ext cx="5760000" cy="3240000"/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A027D85A-A204-0621-7746-3B844EFD7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FB13B1F-AB29-433D-9DEC-97C7C99004F0}" autoFormatId="16" applyNumberFormats="0" applyBorderFormats="0" applyFontFormats="0" applyPatternFormats="0" applyAlignmentFormats="0" applyWidthHeightFormats="0">
  <queryTableRefresh nextId="23">
    <queryTableFields count="22">
      <queryTableField id="1" name="Narration" tableColumnId="1"/>
      <queryTableField id="2" name="Equity Share Capital" tableColumnId="2"/>
      <queryTableField id="3" name="Reserves" tableColumnId="3"/>
      <queryTableField id="4" name="Borrowings" tableColumnId="4"/>
      <queryTableField id="5" name="Other Liabilities" tableColumnId="5"/>
      <queryTableField id="6" name="Total" tableColumnId="6"/>
      <queryTableField id="7" name="Column7" tableColumnId="7"/>
      <queryTableField id="8" name="Net Block" tableColumnId="8"/>
      <queryTableField id="9" name="Capital Work in Progress" tableColumnId="9"/>
      <queryTableField id="10" name="Investments" tableColumnId="10"/>
      <queryTableField id="11" name="Other Assets" tableColumnId="11"/>
      <queryTableField id="12" name="Total_1" tableColumnId="12"/>
      <queryTableField id="13" name="Column13" tableColumnId="13"/>
      <queryTableField id="14" name="Working Capital" tableColumnId="14"/>
      <queryTableField id="15" name="Debtors" tableColumnId="15"/>
      <queryTableField id="16" name="Inventory" tableColumnId="16"/>
      <queryTableField id="17" name="Column17" tableColumnId="17"/>
      <queryTableField id="18" name="Debtor Days" tableColumnId="18"/>
      <queryTableField id="19" name="Inventory Turnover" tableColumnId="19"/>
      <queryTableField id="20" name="Column20" tableColumnId="20"/>
      <queryTableField id="21" name="Return on Equity" tableColumnId="21"/>
      <queryTableField id="22" name="Return on Capital Emp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33DB77-ECFE-45D8-B42D-710AB0407AB6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Narration" tableColumnId="1"/>
      <queryTableField id="2" name="Sales" tableColumnId="2"/>
      <queryTableField id="3" name="Expenses" tableColumnId="3"/>
      <queryTableField id="4" name="Operating Profit" tableColumnId="4"/>
      <queryTableField id="5" name="Other Income" tableColumnId="5"/>
      <queryTableField id="6" name="Depreciation" tableColumnId="6"/>
      <queryTableField id="7" name="Interest" tableColumnId="7"/>
      <queryTableField id="8" name="Profit before tax" tableColumnId="8"/>
      <queryTableField id="9" name="Tax" tableColumnId="9"/>
      <queryTableField id="10" name="Net profit" tableColumnId="10"/>
      <queryTableField id="11" name="EPS" tableColumnId="11"/>
      <queryTableField id="12" name="Price to earning" tableColumnId="12"/>
      <queryTableField id="13" name="Price" tableColumnId="13"/>
      <queryTableField id="14" name="RATIOS:" tableColumnId="14"/>
      <queryTableField id="15" name="Dividend Payout" tableColumnId="15"/>
      <queryTableField id="16" name="OPM" tableColumnId="16"/>
      <queryTableField id="17" dataBound="0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A3B61A-AB02-42BF-B4C5-EBF5642BDB27}" autoFormatId="16" applyNumberFormats="0" applyBorderFormats="0" applyFontFormats="0" applyPatternFormats="0" applyAlignmentFormats="0" applyWidthHeightFormats="0">
  <queryTableRefresh nextId="13">
    <queryTableFields count="12">
      <queryTableField id="1" name="Narration" tableColumnId="1"/>
      <queryTableField id="2" name="Sales" tableColumnId="2"/>
      <queryTableField id="3" name="Expenses" tableColumnId="3"/>
      <queryTableField id="4" name="Operating Profit" tableColumnId="4"/>
      <queryTableField id="5" name="Other Income" tableColumnId="5"/>
      <queryTableField id="6" name="Depreciation" tableColumnId="6"/>
      <queryTableField id="7" name="Interest" tableColumnId="7"/>
      <queryTableField id="8" name="Profit before tax" tableColumnId="8"/>
      <queryTableField id="9" name="Tax" tableColumnId="9"/>
      <queryTableField id="10" name="Net profit" tableColumnId="10"/>
      <queryTableField id="11" name="Column11" tableColumnId="11"/>
      <queryTableField id="12" name="OPM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40B146B-8824-4846-A5EB-FD0A3EBFB8AA}" autoFormatId="16" applyNumberFormats="0" applyBorderFormats="0" applyFontFormats="0" applyPatternFormats="0" applyAlignmentFormats="0" applyWidthHeightFormats="0">
  <queryTableRefresh nextId="6">
    <queryTableFields count="5">
      <queryTableField id="1" name="Narration" tableColumnId="1"/>
      <queryTableField id="2" name="Cash from Operating Activity" tableColumnId="2"/>
      <queryTableField id="3" name="Cash from Investing Activity" tableColumnId="3"/>
      <queryTableField id="4" name="Cash from Financing Activity" tableColumnId="4"/>
      <queryTableField id="5" name="Net Cash Flow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>
  <tableColumns count="14">
    <tableColumn id="1" xr3:uid="{00000000-0010-0000-0000-000001000000}" name="Narration"/>
    <tableColumn id="2" xr3:uid="{00000000-0010-0000-0000-000002000000}" name="Mar-16"/>
    <tableColumn id="3" xr3:uid="{00000000-0010-0000-0000-000003000000}" name="Mar-17"/>
    <tableColumn id="4" xr3:uid="{00000000-0010-0000-0000-000004000000}" name="Mar-18"/>
    <tableColumn id="5" xr3:uid="{00000000-0010-0000-0000-000005000000}" name="Mar-19"/>
    <tableColumn id="6" xr3:uid="{00000000-0010-0000-0000-000006000000}" name="Mar-20"/>
    <tableColumn id="7" xr3:uid="{00000000-0010-0000-0000-000007000000}" name="Mar-21"/>
    <tableColumn id="8" xr3:uid="{00000000-0010-0000-0000-000008000000}" name="Mar-22"/>
    <tableColumn id="9" xr3:uid="{00000000-0010-0000-0000-000009000000}" name="Mar-23"/>
    <tableColumn id="10" xr3:uid="{00000000-0010-0000-0000-00000A000000}" name="Mar-24"/>
    <tableColumn id="11" xr3:uid="{00000000-0010-0000-0000-00000B000000}" name="Mar-25"/>
    <tableColumn id="12" xr3:uid="{00000000-0010-0000-0000-00000C000000}" name="Trailing"/>
    <tableColumn id="13" xr3:uid="{00000000-0010-0000-0000-00000D000000}" name="Best Case"/>
    <tableColumn id="14" xr3:uid="{00000000-0010-0000-0000-00000E000000}" name="Worst Ca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0C7F30-4C77-4FDE-A59C-5789C99C9B6F}" name="Table5" displayName="Table5" ref="A3:K24" totalsRowShown="0" headerRowDxfId="5">
  <autoFilter ref="A3:K24" xr:uid="{130C7F30-4C77-4FDE-A59C-5789C99C9B6F}"/>
  <tableColumns count="11">
    <tableColumn id="1" xr3:uid="{CCC1A8B6-FC2F-4A33-8ACB-8744541B62CD}" name="Narration"/>
    <tableColumn id="2" xr3:uid="{D3E6BD04-B85F-4DE3-A1E5-FCD39148232B}" name="Mar-16"/>
    <tableColumn id="3" xr3:uid="{C1693D96-9934-4C69-820A-7C378269CE92}" name="Mar-17"/>
    <tableColumn id="4" xr3:uid="{6D734EB6-2B2D-4749-BB37-AB6458C0C7AB}" name="Mar-18"/>
    <tableColumn id="5" xr3:uid="{EEAA6A4C-6B72-4224-A8C3-104C296DB6D7}" name="Mar-19"/>
    <tableColumn id="6" xr3:uid="{C88B9B9B-C0E6-46D6-8F9E-BB51B9402B82}" name="Mar-20"/>
    <tableColumn id="7" xr3:uid="{04F68934-BA4D-4A22-8B68-43E59A018177}" name="Mar-21"/>
    <tableColumn id="8" xr3:uid="{9A954871-3F54-4878-A9B3-ED9033B00567}" name="Mar-22"/>
    <tableColumn id="9" xr3:uid="{ADFA7F1C-F96D-463F-9F93-59B14C9439E4}" name="Mar-23"/>
    <tableColumn id="10" xr3:uid="{1C3B91C2-86B7-41D2-B8FF-343122584319}" name="Mar-24"/>
    <tableColumn id="11" xr3:uid="{F13767B3-84FE-4B15-9512-5F03B452EF62}" name="Mar-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6A8BAB-E13E-4FEF-9583-733FF4C405F7}" name="Table7" displayName="Table7" ref="A3:K7" totalsRowShown="0" headerRowDxfId="3">
  <autoFilter ref="A3:K7" xr:uid="{FE6A8BAB-E13E-4FEF-9583-733FF4C405F7}"/>
  <tableColumns count="11">
    <tableColumn id="1" xr3:uid="{5BBC2BF8-B4AE-4FA1-8BF7-267E108E0618}" name="Narration"/>
    <tableColumn id="2" xr3:uid="{8FA6E953-417B-4F39-BD7C-477CF678E224}" name="Mar-16">
      <calculatedColumnFormula>'Data Sheet'!B82</calculatedColumnFormula>
    </tableColumn>
    <tableColumn id="3" xr3:uid="{C73EF00B-AE02-458A-9923-D5EFEC9E15F6}" name="Mar-17">
      <calculatedColumnFormula>'Data Sheet'!C82</calculatedColumnFormula>
    </tableColumn>
    <tableColumn id="4" xr3:uid="{46E203CC-5C81-4E26-9082-F1935B58F96C}" name="Mar-18">
      <calculatedColumnFormula>'Data Sheet'!D82</calculatedColumnFormula>
    </tableColumn>
    <tableColumn id="5" xr3:uid="{0D916E4E-AEA3-4200-9096-20E323A04C65}" name="Mar-19">
      <calculatedColumnFormula>'Data Sheet'!E82</calculatedColumnFormula>
    </tableColumn>
    <tableColumn id="6" xr3:uid="{4F9EDEE4-A566-42C6-B375-B8CCFAEFD745}" name="Mar-20">
      <calculatedColumnFormula>'Data Sheet'!F82</calculatedColumnFormula>
    </tableColumn>
    <tableColumn id="7" xr3:uid="{58F5795E-5D1C-4131-BE0C-F5FED22FE3DE}" name="Mar-21">
      <calculatedColumnFormula>'Data Sheet'!G82</calculatedColumnFormula>
    </tableColumn>
    <tableColumn id="8" xr3:uid="{946558EA-78A5-47DF-B737-049316CDD2A1}" name="Mar-22">
      <calculatedColumnFormula>'Data Sheet'!H82</calculatedColumnFormula>
    </tableColumn>
    <tableColumn id="9" xr3:uid="{2A5E47D0-EA72-42D4-BB71-25DED46A2CFF}" name="Mar-23">
      <calculatedColumnFormula>'Data Sheet'!I82</calculatedColumnFormula>
    </tableColumn>
    <tableColumn id="10" xr3:uid="{AC899CBA-6942-4EFC-B596-E2C0A7317783}" name="Mar-24">
      <calculatedColumnFormula>'Data Sheet'!J82</calculatedColumnFormula>
    </tableColumn>
    <tableColumn id="11" xr3:uid="{3040D420-F7F1-4BC1-BB7A-A40814F88CF3}" name="Mar-25">
      <calculatedColumnFormula>'Data Sheet'!K82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32832D-236C-438B-AE0D-BD9317D9E897}" name="Table5_1" displayName="Table5_1" ref="A1:V11" tableType="queryTable" totalsRowShown="0">
  <autoFilter ref="A1:V11" xr:uid="{7232832D-236C-438B-AE0D-BD9317D9E897}"/>
  <tableColumns count="22">
    <tableColumn id="1" xr3:uid="{BCE256CD-2992-4D41-8D67-810ECF62E67D}" uniqueName="1" name="Narration" queryTableFieldId="1" dataDxfId="4"/>
    <tableColumn id="2" xr3:uid="{5CEC1CD7-B844-4FA3-97DA-089545BC0350}" uniqueName="2" name="Equity Share Capital" queryTableFieldId="2"/>
    <tableColumn id="3" xr3:uid="{A80D0C8F-2046-4A61-B69A-280A00CE65A0}" uniqueName="3" name="Reserves" queryTableFieldId="3"/>
    <tableColumn id="4" xr3:uid="{04DA5A62-95DC-42CE-96E6-42EE375056CE}" uniqueName="4" name="Borrowings" queryTableFieldId="4"/>
    <tableColumn id="5" xr3:uid="{3AAD8C94-0C5D-4636-9A08-D46344CD80D3}" uniqueName="5" name="Other Liabilities" queryTableFieldId="5"/>
    <tableColumn id="6" xr3:uid="{7836378C-8799-4721-8205-CA0EB6AB50B3}" uniqueName="6" name="Total" queryTableFieldId="6"/>
    <tableColumn id="7" xr3:uid="{6398C069-B531-41DA-92FF-E3734EC1D164}" uniqueName="7" name="Column7" queryTableFieldId="7"/>
    <tableColumn id="8" xr3:uid="{0DE73367-3F80-4C41-801B-08C3F36CF085}" uniqueName="8" name="Net Block" queryTableFieldId="8"/>
    <tableColumn id="9" xr3:uid="{D7DDC23B-20B0-4693-B8C0-753055313983}" uniqueName="9" name="Capital Work in Progress" queryTableFieldId="9"/>
    <tableColumn id="10" xr3:uid="{FDCE00C7-B67B-4DEE-A815-83EACCFD3334}" uniqueName="10" name="Investments" queryTableFieldId="10"/>
    <tableColumn id="11" xr3:uid="{5EB416E9-253A-4962-80AE-9A2B4448DAA0}" uniqueName="11" name="Other Assets" queryTableFieldId="11"/>
    <tableColumn id="12" xr3:uid="{71386931-0968-4006-9BE4-CB9957C27235}" uniqueName="12" name="Total_1" queryTableFieldId="12"/>
    <tableColumn id="13" xr3:uid="{1B6F8EFE-9D14-4580-8B2C-46CC7399364F}" uniqueName="13" name="Column13" queryTableFieldId="13"/>
    <tableColumn id="14" xr3:uid="{A6FCD42B-84EB-43FF-8B37-6428D02FCF27}" uniqueName="14" name="Working Capital" queryTableFieldId="14"/>
    <tableColumn id="15" xr3:uid="{1BE7EDC5-F547-41AB-8A1A-2E6D8546CFFA}" uniqueName="15" name="Debtors" queryTableFieldId="15"/>
    <tableColumn id="16" xr3:uid="{68576604-3810-4978-BC46-3627D5DDEE29}" uniqueName="16" name="Inventory" queryTableFieldId="16"/>
    <tableColumn id="17" xr3:uid="{37EB7178-6597-4367-A7AC-E4E59F870181}" uniqueName="17" name="Column17" queryTableFieldId="17"/>
    <tableColumn id="18" xr3:uid="{EBBDBA69-1FBD-438C-B3D8-1A21912CFC0C}" uniqueName="18" name="Debtor Days" queryTableFieldId="18"/>
    <tableColumn id="19" xr3:uid="{A563518E-906D-43A4-A334-EB9878ABDB8E}" uniqueName="19" name="Inventory Turnover" queryTableFieldId="19"/>
    <tableColumn id="20" xr3:uid="{E3DD89B4-DE83-476F-BF70-6978C85446D8}" uniqueName="20" name="Column20" queryTableFieldId="20"/>
    <tableColumn id="21" xr3:uid="{DA842893-7BC5-4BF0-803C-02B97A70E10F}" uniqueName="21" name="Return on Equity" queryTableFieldId="21"/>
    <tableColumn id="22" xr3:uid="{8C89ECDB-96B4-4CF8-888E-566FFDEB6219}" uniqueName="22" name="Return on Capital Emp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F34FAC-CE1E-4C56-928F-FFADCFE5A923}" name="Annual_1" displayName="Annual_1" ref="A1:Q14" tableType="queryTable" totalsRowShown="0">
  <autoFilter ref="A1:Q14" xr:uid="{0DF34FAC-CE1E-4C56-928F-FFADCFE5A923}"/>
  <tableColumns count="17">
    <tableColumn id="1" xr3:uid="{28C81738-645C-4BA2-9F69-EBCB3270853E}" uniqueName="1" name="Years" queryTableFieldId="1" dataDxfId="7"/>
    <tableColumn id="2" xr3:uid="{BFFCF716-4979-40B8-94D9-AA21E16C2159}" uniqueName="2" name="Sales" queryTableFieldId="2"/>
    <tableColumn id="3" xr3:uid="{A0DD9F28-E797-4945-B4C1-6EE72E79964A}" uniqueName="3" name="Expenses" queryTableFieldId="3"/>
    <tableColumn id="4" xr3:uid="{B68CA2C8-ABC4-44F5-AD0A-04086F8FE132}" uniqueName="4" name="Operating Profit" queryTableFieldId="4"/>
    <tableColumn id="5" xr3:uid="{B600B50B-7A43-4648-8879-9AE04F7020A0}" uniqueName="5" name="Other Income" queryTableFieldId="5"/>
    <tableColumn id="6" xr3:uid="{720B7278-FFA1-4BD7-9A22-D1583962C739}" uniqueName="6" name="Depreciation" queryTableFieldId="6"/>
    <tableColumn id="7" xr3:uid="{0A139C2F-7A4E-4AD6-ACC6-2C93E24829E3}" uniqueName="7" name="Interest" queryTableFieldId="7"/>
    <tableColumn id="8" xr3:uid="{62FD23E4-828F-4DC1-9BE7-97396E78132F}" uniqueName="8" name="Profit before tax" queryTableFieldId="8"/>
    <tableColumn id="9" xr3:uid="{FE49E1CF-A69D-404F-B2F4-2764D26C2C1E}" uniqueName="9" name="Tax" queryTableFieldId="9"/>
    <tableColumn id="10" xr3:uid="{52743C54-01BC-4991-BFA0-0C4088A768B5}" uniqueName="10" name="Net profit" queryTableFieldId="10"/>
    <tableColumn id="11" xr3:uid="{EEE2A460-C503-422A-B9E8-706F9F54A085}" uniqueName="11" name="EPS" queryTableFieldId="11"/>
    <tableColumn id="12" xr3:uid="{7FB9A3CB-3492-45A8-84BD-63439270D2DE}" uniqueName="12" name="Price to earning" queryTableFieldId="12"/>
    <tableColumn id="13" xr3:uid="{B07B607D-12C9-4D14-B48E-2CD08F309201}" uniqueName="13" name="Price" queryTableFieldId="13"/>
    <tableColumn id="14" xr3:uid="{F03593BC-8524-4B51-B946-15E7887F6ADB}" uniqueName="14" name="RATIOS:" queryTableFieldId="14"/>
    <tableColumn id="15" xr3:uid="{44A04ABB-1D95-49A1-A9BE-B8F51DC07202}" uniqueName="15" name="Dividend Payout" queryTableFieldId="15" dataCellStyle="Percent"/>
    <tableColumn id="16" xr3:uid="{385FC8D2-C5E8-4409-85F2-631AB2B8082C}" uniqueName="16" name="OPM" queryTableFieldId="16" dataCellStyle="Percent"/>
    <tableColumn id="17" xr3:uid="{D9F5E1D4-249E-47A7-AFF1-46382FC86E72}" uniqueName="17" name="Net Profit Margin" queryTableFieldId="17" dataDxfId="1" dataCellStyle="Percent">
      <calculatedColumnFormula>Annual_1[[#This Row],[Net profit]]/Annual_1[[#This Row],[Sales]]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CDBED-1D58-4589-A481-0EABB59173BF}" name="Quarters_1" displayName="Quarters_1" ref="A1:L11" tableType="queryTable" totalsRowShown="0">
  <autoFilter ref="A1:L11" xr:uid="{AA1CDBED-1D58-4589-A481-0EABB59173BF}"/>
  <tableColumns count="12">
    <tableColumn id="1" xr3:uid="{A6E6C88B-1F1F-4F5C-A0A0-73CF466C22BD}" uniqueName="1" name="Narration" queryTableFieldId="1" dataDxfId="6"/>
    <tableColumn id="2" xr3:uid="{3C19597F-4680-4F55-98E8-05E1FE0FF8D3}" uniqueName="2" name="Sales" queryTableFieldId="2"/>
    <tableColumn id="3" xr3:uid="{5BF12719-0400-4024-ACA5-681F7DA60E53}" uniqueName="3" name="Expenses" queryTableFieldId="3"/>
    <tableColumn id="4" xr3:uid="{5960748A-F018-4A79-A57F-8D1EAB65B1D3}" uniqueName="4" name="Operating Profit" queryTableFieldId="4"/>
    <tableColumn id="5" xr3:uid="{3969D222-7113-41BE-9E16-E315C71CCE93}" uniqueName="5" name="Other Income" queryTableFieldId="5"/>
    <tableColumn id="6" xr3:uid="{7563C50F-AFB4-4D9D-88CA-D29CAD578005}" uniqueName="6" name="Depreciation" queryTableFieldId="6"/>
    <tableColumn id="7" xr3:uid="{EF671720-AC68-4C1F-B58F-9D62DE4C47EE}" uniqueName="7" name="Interest" queryTableFieldId="7"/>
    <tableColumn id="8" xr3:uid="{0280C994-FB09-4815-8A13-F5F8E87E80C4}" uniqueName="8" name="Profit before tax" queryTableFieldId="8"/>
    <tableColumn id="9" xr3:uid="{535196DE-A619-4063-A5E1-0B376E41FBD5}" uniqueName="9" name="Tax" queryTableFieldId="9"/>
    <tableColumn id="10" xr3:uid="{DD97A2C3-206B-46A1-93F6-B362E7FCCB03}" uniqueName="10" name="Net profit" queryTableFieldId="10"/>
    <tableColumn id="11" xr3:uid="{589DF43A-CA63-428E-B987-C295011BF83F}" uniqueName="11" name="Column11" queryTableFieldId="11"/>
    <tableColumn id="12" xr3:uid="{DCCCA543-6BA9-498A-90BD-A1EB80DF3884}" uniqueName="12" name="OPM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244D64-028D-4825-A8F4-3683BEBAFC0E}" name="Table7_1" displayName="Table7_1" ref="A1:E11" tableType="queryTable" totalsRowShown="0">
  <autoFilter ref="A1:E11" xr:uid="{F8244D64-028D-4825-A8F4-3683BEBAFC0E}"/>
  <tableColumns count="5">
    <tableColumn id="1" xr3:uid="{0AC2FD79-4E04-465A-9D46-01838125D812}" uniqueName="1" name="Narration" queryTableFieldId="1" dataDxfId="2"/>
    <tableColumn id="2" xr3:uid="{A41FA2F5-2F92-4141-90A2-C73F78DD5B63}" uniqueName="2" name="Cash from Operating Activity" queryTableFieldId="2"/>
    <tableColumn id="3" xr3:uid="{9610F52E-DF5F-4BF8-AD3F-450EA6F6CC47}" uniqueName="3" name="Cash from Investing Activity" queryTableFieldId="3"/>
    <tableColumn id="4" xr3:uid="{47826C4B-9DA7-40AC-9BC5-2E9E6EE0BA10}" uniqueName="4" name="Cash from Financing Activity" queryTableFieldId="4"/>
    <tableColumn id="5" xr3:uid="{5C785A1A-317F-4098-A917-BEDD72EEED32}" uniqueName="5" name="Net Cash Flow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workbookViewId="0"/>
  </sheetViews>
  <sheetFormatPr defaultColWidth="8.77734375" defaultRowHeight="14.4" x14ac:dyDescent="0.3"/>
  <cols>
    <col min="1" max="1" width="27.6640625" style="4" customWidth="1"/>
    <col min="2" max="11" width="13.44140625" style="4" customWidth="1"/>
    <col min="12" max="16384" width="8.77734375" style="4"/>
  </cols>
  <sheetData>
    <row r="1" spans="1:11" s="1" customFormat="1" x14ac:dyDescent="0.3">
      <c r="A1" s="1" t="s">
        <v>50</v>
      </c>
      <c r="B1" s="1" t="s">
        <v>51</v>
      </c>
      <c r="E1" s="20" t="str">
        <f>IF(B2&lt;&gt;B3, "A NEW VERSION OF THE WORKSHEET IS AVAILABLE", "")</f>
        <v/>
      </c>
      <c r="F1" s="20"/>
      <c r="G1" s="20"/>
      <c r="H1" s="20"/>
      <c r="I1" s="20"/>
      <c r="J1" s="20"/>
      <c r="K1" s="20"/>
    </row>
    <row r="2" spans="1:11" x14ac:dyDescent="0.3">
      <c r="A2" s="1" t="s">
        <v>52</v>
      </c>
      <c r="B2" s="4">
        <v>2.1</v>
      </c>
      <c r="E2" s="21" t="s">
        <v>53</v>
      </c>
      <c r="F2" s="21"/>
      <c r="G2" s="21"/>
      <c r="H2" s="21"/>
      <c r="I2" s="21"/>
      <c r="J2" s="21"/>
      <c r="K2" s="21"/>
    </row>
    <row r="3" spans="1:11" x14ac:dyDescent="0.3">
      <c r="A3" s="1" t="s">
        <v>54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56</v>
      </c>
      <c r="B6" s="4">
        <f>IF(B9&gt;0, B9/B8, 0)</f>
        <v>124.35288547664747</v>
      </c>
    </row>
    <row r="7" spans="1:11" x14ac:dyDescent="0.3">
      <c r="A7" s="4" t="s">
        <v>57</v>
      </c>
      <c r="B7">
        <v>5</v>
      </c>
    </row>
    <row r="8" spans="1:11" x14ac:dyDescent="0.3">
      <c r="A8" s="4" t="s">
        <v>58</v>
      </c>
      <c r="B8">
        <v>3126</v>
      </c>
    </row>
    <row r="9" spans="1:11" x14ac:dyDescent="0.3">
      <c r="A9" s="4" t="s">
        <v>59</v>
      </c>
      <c r="B9">
        <v>388727.12</v>
      </c>
    </row>
    <row r="15" spans="1:11" x14ac:dyDescent="0.3">
      <c r="A15" s="1" t="s">
        <v>60</v>
      </c>
    </row>
    <row r="16" spans="1:11" s="18" customFormat="1" x14ac:dyDescent="0.3">
      <c r="A16" s="17" t="s">
        <v>61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75841.42</v>
      </c>
      <c r="C17">
        <v>83773.05</v>
      </c>
      <c r="D17">
        <v>92093.95</v>
      </c>
      <c r="E17">
        <v>104720.68</v>
      </c>
      <c r="F17">
        <v>75381.929999999993</v>
      </c>
      <c r="G17">
        <v>74277.78</v>
      </c>
      <c r="H17">
        <v>90170.57</v>
      </c>
      <c r="I17">
        <v>121268.55</v>
      </c>
      <c r="J17">
        <v>139078.26999999999</v>
      </c>
      <c r="K17">
        <v>159210.82</v>
      </c>
    </row>
    <row r="18" spans="1:11" s="6" customFormat="1" x14ac:dyDescent="0.3">
      <c r="A18" s="4" t="s">
        <v>62</v>
      </c>
      <c r="B18">
        <v>45584.35</v>
      </c>
      <c r="C18">
        <v>50655.199999999997</v>
      </c>
      <c r="D18">
        <v>53457.29</v>
      </c>
      <c r="E18">
        <v>61881.19</v>
      </c>
      <c r="F18">
        <v>37595.300000000003</v>
      </c>
      <c r="G18">
        <v>38271.199999999997</v>
      </c>
      <c r="H18">
        <v>52664.85</v>
      </c>
      <c r="I18">
        <v>76019.87</v>
      </c>
      <c r="J18">
        <v>85070.07</v>
      </c>
      <c r="K18">
        <v>95754.9</v>
      </c>
    </row>
    <row r="19" spans="1:11" s="6" customFormat="1" x14ac:dyDescent="0.3">
      <c r="A19" s="4" t="s">
        <v>63</v>
      </c>
      <c r="B19">
        <v>458.51</v>
      </c>
      <c r="C19">
        <v>13.83</v>
      </c>
      <c r="D19">
        <v>-83.33</v>
      </c>
      <c r="E19">
        <v>1730.48</v>
      </c>
      <c r="F19">
        <v>-826.62</v>
      </c>
      <c r="G19">
        <v>-135.59</v>
      </c>
      <c r="H19">
        <v>861.66</v>
      </c>
      <c r="I19">
        <v>2032.31</v>
      </c>
      <c r="J19">
        <v>1455.32</v>
      </c>
      <c r="K19">
        <v>12.18</v>
      </c>
    </row>
    <row r="20" spans="1:11" s="6" customFormat="1" x14ac:dyDescent="0.3">
      <c r="A20" s="4" t="s">
        <v>64</v>
      </c>
      <c r="B20">
        <v>639.97</v>
      </c>
      <c r="C20">
        <v>657.06</v>
      </c>
      <c r="D20">
        <v>733.9</v>
      </c>
      <c r="E20">
        <v>817.11</v>
      </c>
      <c r="F20">
        <v>530.91999999999996</v>
      </c>
      <c r="G20">
        <v>429.56</v>
      </c>
      <c r="H20">
        <v>541.27</v>
      </c>
      <c r="I20">
        <v>830.48</v>
      </c>
      <c r="J20">
        <v>752.73</v>
      </c>
      <c r="K20">
        <v>832.35</v>
      </c>
    </row>
    <row r="21" spans="1:11" s="6" customFormat="1" x14ac:dyDescent="0.3">
      <c r="A21" s="4" t="s">
        <v>65</v>
      </c>
      <c r="B21">
        <v>2618.6999999999998</v>
      </c>
      <c r="C21">
        <v>3255.3</v>
      </c>
      <c r="D21">
        <v>3590.26</v>
      </c>
      <c r="E21">
        <v>4253</v>
      </c>
      <c r="F21">
        <v>3277.79</v>
      </c>
      <c r="G21">
        <v>2523.4</v>
      </c>
      <c r="H21">
        <v>3124.27</v>
      </c>
      <c r="I21">
        <v>3838.42</v>
      </c>
      <c r="J21">
        <v>3791.75</v>
      </c>
      <c r="K21">
        <v>4162.28</v>
      </c>
    </row>
    <row r="22" spans="1:11" s="6" customFormat="1" x14ac:dyDescent="0.3">
      <c r="A22" s="4" t="s">
        <v>66</v>
      </c>
      <c r="B22">
        <v>7689.4</v>
      </c>
      <c r="C22">
        <v>8910.6299999999992</v>
      </c>
      <c r="D22">
        <v>10004.620000000001</v>
      </c>
      <c r="E22">
        <v>11242.08</v>
      </c>
      <c r="F22">
        <v>8214.82</v>
      </c>
      <c r="G22">
        <v>7813.26</v>
      </c>
      <c r="H22">
        <v>8386.74</v>
      </c>
      <c r="I22">
        <v>9677.9500000000007</v>
      </c>
      <c r="J22">
        <v>10624.33</v>
      </c>
      <c r="K22">
        <v>11126.17</v>
      </c>
    </row>
    <row r="23" spans="1:11" s="6" customFormat="1" x14ac:dyDescent="0.3">
      <c r="A23" s="4" t="s">
        <v>67</v>
      </c>
      <c r="B23">
        <v>5758.86</v>
      </c>
      <c r="C23">
        <v>6253.64</v>
      </c>
      <c r="D23">
        <v>7591.15</v>
      </c>
      <c r="E23">
        <v>9658.98</v>
      </c>
      <c r="F23">
        <v>6316.52</v>
      </c>
      <c r="G23">
        <v>4628.75</v>
      </c>
      <c r="H23">
        <v>5977.67</v>
      </c>
      <c r="I23">
        <v>7681.87</v>
      </c>
      <c r="J23">
        <v>9832.2000000000007</v>
      </c>
      <c r="K23">
        <v>10811.4</v>
      </c>
    </row>
    <row r="24" spans="1:11" s="6" customFormat="1" x14ac:dyDescent="0.3">
      <c r="A24" s="4" t="s">
        <v>68</v>
      </c>
      <c r="B24">
        <v>3926.21</v>
      </c>
      <c r="C24">
        <v>3320.22</v>
      </c>
      <c r="D24">
        <v>3407.3</v>
      </c>
      <c r="E24">
        <v>3392.29</v>
      </c>
      <c r="F24">
        <v>8462.2099999999991</v>
      </c>
      <c r="G24">
        <v>8989</v>
      </c>
      <c r="H24">
        <v>5654.58</v>
      </c>
      <c r="I24">
        <v>4966.9799999999996</v>
      </c>
      <c r="J24">
        <v>5570.58</v>
      </c>
      <c r="K24">
        <v>6017.71</v>
      </c>
    </row>
    <row r="25" spans="1:11" s="6" customFormat="1" x14ac:dyDescent="0.3">
      <c r="A25" s="6" t="s">
        <v>8</v>
      </c>
      <c r="B25">
        <v>1398.83</v>
      </c>
      <c r="C25">
        <v>2076.61</v>
      </c>
      <c r="D25">
        <v>4366.41</v>
      </c>
      <c r="E25">
        <v>2676.45</v>
      </c>
      <c r="F25">
        <v>884.69</v>
      </c>
      <c r="G25">
        <v>1151.51</v>
      </c>
      <c r="H25">
        <v>3204.47</v>
      </c>
      <c r="I25">
        <v>3961.45</v>
      </c>
      <c r="J25">
        <v>3297.85</v>
      </c>
      <c r="K25">
        <v>3718.47</v>
      </c>
    </row>
    <row r="26" spans="1:11" s="6" customFormat="1" x14ac:dyDescent="0.3">
      <c r="A26" s="6" t="s">
        <v>9</v>
      </c>
      <c r="B26">
        <v>2441.65</v>
      </c>
      <c r="C26">
        <v>2812.72</v>
      </c>
      <c r="D26">
        <v>3279.9</v>
      </c>
      <c r="E26">
        <v>3990.77</v>
      </c>
      <c r="F26">
        <v>3366.68</v>
      </c>
      <c r="G26">
        <v>3378.11</v>
      </c>
      <c r="H26">
        <v>3507.5</v>
      </c>
      <c r="I26">
        <v>4356.8100000000004</v>
      </c>
      <c r="J26">
        <v>4723.78</v>
      </c>
      <c r="K26">
        <v>6073.65</v>
      </c>
    </row>
    <row r="27" spans="1:11" s="6" customFormat="1" x14ac:dyDescent="0.3">
      <c r="A27" s="6" t="s">
        <v>10</v>
      </c>
      <c r="B27">
        <v>3367.59</v>
      </c>
      <c r="C27">
        <v>3648.46</v>
      </c>
      <c r="D27">
        <v>3987.09</v>
      </c>
      <c r="E27">
        <v>5021.3500000000004</v>
      </c>
      <c r="F27">
        <v>6021.15</v>
      </c>
      <c r="G27">
        <v>6102.22</v>
      </c>
      <c r="H27">
        <v>5018.05</v>
      </c>
      <c r="I27">
        <v>5829.7</v>
      </c>
      <c r="J27">
        <v>7488.21</v>
      </c>
      <c r="K27">
        <v>9083.39</v>
      </c>
    </row>
    <row r="28" spans="1:11" s="6" customFormat="1" x14ac:dyDescent="0.3">
      <c r="A28" s="6" t="s">
        <v>11</v>
      </c>
      <c r="B28">
        <v>5672.03</v>
      </c>
      <c r="C28">
        <v>6350.26</v>
      </c>
      <c r="D28">
        <v>10325.52</v>
      </c>
      <c r="E28">
        <v>8870.84</v>
      </c>
      <c r="F28">
        <v>1654.61</v>
      </c>
      <c r="G28">
        <v>3158.2</v>
      </c>
      <c r="H28">
        <v>9361.77</v>
      </c>
      <c r="I28">
        <v>14060.23</v>
      </c>
      <c r="J28">
        <v>15977.79</v>
      </c>
      <c r="K28">
        <v>19079.62</v>
      </c>
    </row>
    <row r="29" spans="1:11" s="6" customFormat="1" x14ac:dyDescent="0.3">
      <c r="A29" s="6" t="s">
        <v>12</v>
      </c>
      <c r="B29">
        <v>2117.5300000000002</v>
      </c>
      <c r="C29">
        <v>2299.73</v>
      </c>
      <c r="D29">
        <v>2367.73</v>
      </c>
      <c r="E29">
        <v>2853.99</v>
      </c>
      <c r="F29">
        <v>1975.61</v>
      </c>
      <c r="G29">
        <v>1645.81</v>
      </c>
      <c r="H29">
        <v>2108.7600000000002</v>
      </c>
      <c r="I29">
        <v>2685.75</v>
      </c>
      <c r="J29">
        <v>3707.97</v>
      </c>
      <c r="K29">
        <v>5006.45</v>
      </c>
    </row>
    <row r="30" spans="1:11" s="6" customFormat="1" x14ac:dyDescent="0.3">
      <c r="A30" s="6" t="s">
        <v>13</v>
      </c>
      <c r="B30">
        <v>3148.43</v>
      </c>
      <c r="C30">
        <v>3698.04</v>
      </c>
      <c r="D30">
        <v>7510.39</v>
      </c>
      <c r="E30">
        <v>5315.46</v>
      </c>
      <c r="F30">
        <v>127.04</v>
      </c>
      <c r="G30">
        <v>1812.49</v>
      </c>
      <c r="H30">
        <v>6577.32</v>
      </c>
      <c r="I30">
        <v>10281.5</v>
      </c>
      <c r="J30">
        <v>11268.64</v>
      </c>
      <c r="K30">
        <v>12929.1</v>
      </c>
    </row>
    <row r="31" spans="1:11" s="6" customFormat="1" x14ac:dyDescent="0.3">
      <c r="A31" s="6" t="s">
        <v>69</v>
      </c>
      <c r="B31">
        <v>648.96</v>
      </c>
      <c r="C31">
        <v>807.43</v>
      </c>
      <c r="D31">
        <v>814.7</v>
      </c>
      <c r="E31">
        <v>924.73</v>
      </c>
      <c r="F31">
        <v>260.51</v>
      </c>
      <c r="G31">
        <v>971.51</v>
      </c>
      <c r="H31">
        <v>1284.5</v>
      </c>
      <c r="I31">
        <v>1809.66</v>
      </c>
      <c r="J31">
        <v>2352.14</v>
      </c>
      <c r="K31">
        <v>2824.24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70</v>
      </c>
    </row>
    <row r="41" spans="1:11" s="18" customFormat="1" x14ac:dyDescent="0.3">
      <c r="A41" s="17" t="s">
        <v>61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5</v>
      </c>
      <c r="B42">
        <v>34435.519999999997</v>
      </c>
      <c r="C42">
        <v>35299.39</v>
      </c>
      <c r="D42">
        <v>35451.730000000003</v>
      </c>
      <c r="E42">
        <v>37217.72</v>
      </c>
      <c r="F42">
        <v>37923.74</v>
      </c>
      <c r="G42">
        <v>41470.050000000003</v>
      </c>
      <c r="H42">
        <v>42599.31</v>
      </c>
      <c r="I42">
        <v>45529.19</v>
      </c>
      <c r="J42">
        <v>46105.67</v>
      </c>
      <c r="K42">
        <v>52099.75</v>
      </c>
    </row>
    <row r="43" spans="1:11" s="6" customFormat="1" x14ac:dyDescent="0.3">
      <c r="A43" s="6" t="s">
        <v>6</v>
      </c>
      <c r="B43">
        <v>28705.94</v>
      </c>
      <c r="C43">
        <v>29075.41</v>
      </c>
      <c r="D43">
        <v>28847.82</v>
      </c>
      <c r="E43">
        <v>29974.6</v>
      </c>
      <c r="F43">
        <v>30790.34</v>
      </c>
      <c r="G43">
        <v>33239.32</v>
      </c>
      <c r="H43">
        <v>34688.370000000003</v>
      </c>
      <c r="I43">
        <v>37301.39</v>
      </c>
      <c r="J43">
        <v>37165.760000000002</v>
      </c>
      <c r="K43">
        <v>41939.370000000003</v>
      </c>
    </row>
    <row r="44" spans="1:11" s="6" customFormat="1" x14ac:dyDescent="0.3">
      <c r="A44" s="6" t="s">
        <v>8</v>
      </c>
      <c r="B44">
        <v>811.95</v>
      </c>
      <c r="C44">
        <v>755.69</v>
      </c>
      <c r="D44">
        <v>750.44</v>
      </c>
      <c r="E44">
        <v>733.21</v>
      </c>
      <c r="F44">
        <v>1125.57</v>
      </c>
      <c r="G44">
        <v>718.59</v>
      </c>
      <c r="H44">
        <v>1141.0999999999999</v>
      </c>
      <c r="I44">
        <v>1395.06</v>
      </c>
      <c r="J44">
        <v>1133.94</v>
      </c>
      <c r="K44">
        <v>976.43</v>
      </c>
    </row>
    <row r="45" spans="1:11" s="6" customFormat="1" x14ac:dyDescent="0.3">
      <c r="A45" s="6" t="s">
        <v>9</v>
      </c>
      <c r="B45">
        <v>1138.6400000000001</v>
      </c>
      <c r="C45">
        <v>1122.5899999999999</v>
      </c>
      <c r="D45">
        <v>1335.05</v>
      </c>
      <c r="E45">
        <v>1247.77</v>
      </c>
      <c r="F45">
        <v>1301.99</v>
      </c>
      <c r="G45">
        <v>1495.17</v>
      </c>
      <c r="H45">
        <v>2028.72</v>
      </c>
      <c r="I45">
        <v>1547.56</v>
      </c>
      <c r="J45">
        <v>1668.89</v>
      </c>
      <c r="K45">
        <v>2162.89</v>
      </c>
    </row>
    <row r="46" spans="1:11" s="6" customFormat="1" x14ac:dyDescent="0.3">
      <c r="A46" s="6" t="s">
        <v>10</v>
      </c>
      <c r="B46">
        <v>1835.19</v>
      </c>
      <c r="C46">
        <v>1944.88</v>
      </c>
      <c r="D46">
        <v>1989.3</v>
      </c>
      <c r="E46">
        <v>2107.69</v>
      </c>
      <c r="F46">
        <v>2217.02</v>
      </c>
      <c r="G46">
        <v>2362.16</v>
      </c>
      <c r="H46">
        <v>2396.52</v>
      </c>
      <c r="I46">
        <v>2431.19</v>
      </c>
      <c r="J46">
        <v>2347.0300000000002</v>
      </c>
      <c r="K46">
        <v>2405.3000000000002</v>
      </c>
    </row>
    <row r="47" spans="1:11" s="6" customFormat="1" x14ac:dyDescent="0.3">
      <c r="A47" s="6" t="s">
        <v>11</v>
      </c>
      <c r="B47">
        <v>3567.7</v>
      </c>
      <c r="C47">
        <v>3912.2</v>
      </c>
      <c r="D47">
        <v>4030</v>
      </c>
      <c r="E47">
        <v>4620.87</v>
      </c>
      <c r="F47">
        <v>4739.96</v>
      </c>
      <c r="G47">
        <v>5091.99</v>
      </c>
      <c r="H47">
        <v>4626.8</v>
      </c>
      <c r="I47">
        <v>5644.11</v>
      </c>
      <c r="J47">
        <v>6057.93</v>
      </c>
      <c r="K47">
        <v>6568.62</v>
      </c>
    </row>
    <row r="48" spans="1:11" s="6" customFormat="1" x14ac:dyDescent="0.3">
      <c r="A48" s="6" t="s">
        <v>12</v>
      </c>
      <c r="B48">
        <v>1083.73</v>
      </c>
      <c r="C48">
        <v>935.16</v>
      </c>
      <c r="D48">
        <v>905.06</v>
      </c>
      <c r="E48">
        <v>1075.0899999999999</v>
      </c>
      <c r="F48">
        <v>1378.9</v>
      </c>
      <c r="G48">
        <v>1467.51</v>
      </c>
      <c r="H48">
        <v>1084.95</v>
      </c>
      <c r="I48">
        <v>1267.53</v>
      </c>
      <c r="J48">
        <v>2094.1799999999998</v>
      </c>
      <c r="K48">
        <v>1547.15</v>
      </c>
    </row>
    <row r="49" spans="1:11" s="6" customFormat="1" x14ac:dyDescent="0.3">
      <c r="A49" s="6" t="s">
        <v>13</v>
      </c>
      <c r="B49">
        <v>2347.75</v>
      </c>
      <c r="C49">
        <v>2658.4</v>
      </c>
      <c r="D49">
        <v>2754.08</v>
      </c>
      <c r="E49">
        <v>3282.63</v>
      </c>
      <c r="F49">
        <v>3170.72</v>
      </c>
      <c r="G49">
        <v>3180.58</v>
      </c>
      <c r="H49">
        <v>3295.17</v>
      </c>
      <c r="I49">
        <v>4083.32</v>
      </c>
      <c r="J49">
        <v>3673.32</v>
      </c>
      <c r="K49">
        <v>4674.6400000000003</v>
      </c>
    </row>
    <row r="50" spans="1:11" x14ac:dyDescent="0.3">
      <c r="A50" s="6" t="s">
        <v>7</v>
      </c>
      <c r="B50">
        <v>5729.58</v>
      </c>
      <c r="C50">
        <v>6223.98</v>
      </c>
      <c r="D50">
        <v>6603.91</v>
      </c>
      <c r="E50">
        <v>7243.12</v>
      </c>
      <c r="F50">
        <v>7133.4</v>
      </c>
      <c r="G50">
        <v>8230.73</v>
      </c>
      <c r="H50">
        <v>7910.94</v>
      </c>
      <c r="I50">
        <v>8227.7999999999993</v>
      </c>
      <c r="J50">
        <v>8939.91</v>
      </c>
      <c r="K50">
        <v>10160.379999999999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71</v>
      </c>
    </row>
    <row r="56" spans="1:11" s="18" customFormat="1" x14ac:dyDescent="0.3">
      <c r="A56" s="17" t="s">
        <v>61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30</v>
      </c>
      <c r="B57">
        <v>270.39999999999998</v>
      </c>
      <c r="C57">
        <v>310.55</v>
      </c>
      <c r="D57">
        <v>543.13</v>
      </c>
      <c r="E57">
        <v>543.96</v>
      </c>
      <c r="F57">
        <v>554.28</v>
      </c>
      <c r="G57">
        <v>555.15</v>
      </c>
      <c r="H57">
        <v>556.05999999999995</v>
      </c>
      <c r="I57">
        <v>556.82000000000005</v>
      </c>
      <c r="J57">
        <v>557.38</v>
      </c>
      <c r="K57">
        <v>558.15</v>
      </c>
    </row>
    <row r="58" spans="1:11" x14ac:dyDescent="0.3">
      <c r="A58" s="6" t="s">
        <v>31</v>
      </c>
      <c r="B58">
        <v>26222.25</v>
      </c>
      <c r="C58">
        <v>29467.1</v>
      </c>
      <c r="D58">
        <v>36232.06</v>
      </c>
      <c r="E58">
        <v>39439.449999999997</v>
      </c>
      <c r="F58">
        <v>39415.03</v>
      </c>
      <c r="G58">
        <v>41026.769999999997</v>
      </c>
      <c r="H58">
        <v>46566.58</v>
      </c>
      <c r="I58">
        <v>55808.97</v>
      </c>
      <c r="J58">
        <v>65633.17</v>
      </c>
      <c r="K58">
        <v>76480.710000000006</v>
      </c>
    </row>
    <row r="59" spans="1:11" x14ac:dyDescent="0.3">
      <c r="A59" s="6" t="s">
        <v>32</v>
      </c>
      <c r="B59">
        <v>41552.93</v>
      </c>
      <c r="C59">
        <v>48761.91</v>
      </c>
      <c r="D59">
        <v>55897.919999999998</v>
      </c>
      <c r="E59">
        <v>70848.3</v>
      </c>
      <c r="F59">
        <v>82092.28</v>
      </c>
      <c r="G59">
        <v>80624.83</v>
      </c>
      <c r="H59">
        <v>77605.210000000006</v>
      </c>
      <c r="I59">
        <v>92246.85</v>
      </c>
      <c r="J59">
        <v>108647.25</v>
      </c>
      <c r="K59">
        <v>129024.58</v>
      </c>
    </row>
    <row r="60" spans="1:11" x14ac:dyDescent="0.3">
      <c r="A60" s="6" t="s">
        <v>33</v>
      </c>
      <c r="B60">
        <v>31806.240000000002</v>
      </c>
      <c r="C60">
        <v>35295.919999999998</v>
      </c>
      <c r="D60">
        <v>43696.2</v>
      </c>
      <c r="E60">
        <v>51056.95</v>
      </c>
      <c r="F60">
        <v>43654.54</v>
      </c>
      <c r="G60">
        <v>42761.58</v>
      </c>
      <c r="H60">
        <v>47660.639999999999</v>
      </c>
      <c r="I60">
        <v>55670.49</v>
      </c>
      <c r="J60">
        <v>59883.94</v>
      </c>
      <c r="K60">
        <v>69949.72</v>
      </c>
    </row>
    <row r="61" spans="1:11" s="1" customFormat="1" x14ac:dyDescent="0.3">
      <c r="A61" s="1" t="s">
        <v>34</v>
      </c>
      <c r="B61">
        <v>99851.82</v>
      </c>
      <c r="C61">
        <v>113835.48</v>
      </c>
      <c r="D61">
        <v>136369.31</v>
      </c>
      <c r="E61">
        <v>161888.66</v>
      </c>
      <c r="F61">
        <v>165716.13</v>
      </c>
      <c r="G61">
        <v>164968.32999999999</v>
      </c>
      <c r="H61">
        <v>172388.49</v>
      </c>
      <c r="I61">
        <v>204283.13</v>
      </c>
      <c r="J61">
        <v>234721.74</v>
      </c>
      <c r="K61">
        <v>276013.15999999997</v>
      </c>
    </row>
    <row r="62" spans="1:11" x14ac:dyDescent="0.3">
      <c r="A62" s="6" t="s">
        <v>35</v>
      </c>
      <c r="B62">
        <v>20584.71</v>
      </c>
      <c r="C62">
        <v>20989.01</v>
      </c>
      <c r="D62">
        <v>26181.9</v>
      </c>
      <c r="E62">
        <v>28982.74</v>
      </c>
      <c r="F62">
        <v>29689.27</v>
      </c>
      <c r="G62">
        <v>21379.68</v>
      </c>
      <c r="H62">
        <v>26018.49</v>
      </c>
      <c r="I62">
        <v>27139.98</v>
      </c>
      <c r="J62">
        <v>28129.41</v>
      </c>
      <c r="K62">
        <v>34636.36</v>
      </c>
    </row>
    <row r="63" spans="1:11" x14ac:dyDescent="0.3">
      <c r="A63" s="6" t="s">
        <v>36</v>
      </c>
      <c r="B63">
        <v>2371.35</v>
      </c>
      <c r="C63">
        <v>4278.9399999999996</v>
      </c>
      <c r="D63">
        <v>4269.47</v>
      </c>
      <c r="E63">
        <v>4759.84</v>
      </c>
      <c r="F63">
        <v>6856.48</v>
      </c>
      <c r="G63">
        <v>7872.61</v>
      </c>
      <c r="H63">
        <v>6702.81</v>
      </c>
      <c r="I63">
        <v>3968.58</v>
      </c>
      <c r="J63">
        <v>8039.3</v>
      </c>
      <c r="K63">
        <v>8297.64</v>
      </c>
    </row>
    <row r="64" spans="1:11" x14ac:dyDescent="0.3">
      <c r="A64" s="6" t="s">
        <v>37</v>
      </c>
      <c r="B64">
        <v>11602.58</v>
      </c>
      <c r="C64">
        <v>14662.44</v>
      </c>
      <c r="D64">
        <v>16017.61</v>
      </c>
      <c r="E64">
        <v>18268.099999999999</v>
      </c>
      <c r="F64">
        <v>19210.34</v>
      </c>
      <c r="G64">
        <v>28777.66</v>
      </c>
      <c r="H64">
        <v>30060.43</v>
      </c>
      <c r="I64">
        <v>35272.42</v>
      </c>
      <c r="J64">
        <v>35208.1</v>
      </c>
      <c r="K64">
        <v>41308.57</v>
      </c>
    </row>
    <row r="65" spans="1:11" x14ac:dyDescent="0.3">
      <c r="A65" s="6" t="s">
        <v>38</v>
      </c>
      <c r="B65">
        <v>65293.18</v>
      </c>
      <c r="C65">
        <v>73905.09</v>
      </c>
      <c r="D65">
        <v>89900.33</v>
      </c>
      <c r="E65">
        <v>109877.98</v>
      </c>
      <c r="F65">
        <v>109960.04</v>
      </c>
      <c r="G65">
        <v>106938.38</v>
      </c>
      <c r="H65">
        <v>109606.76</v>
      </c>
      <c r="I65">
        <v>137902.15</v>
      </c>
      <c r="J65">
        <v>163344.93</v>
      </c>
      <c r="K65">
        <v>191770.59</v>
      </c>
    </row>
    <row r="66" spans="1:11" s="1" customFormat="1" x14ac:dyDescent="0.3">
      <c r="A66" s="1" t="s">
        <v>34</v>
      </c>
      <c r="B66">
        <v>99851.82</v>
      </c>
      <c r="C66">
        <v>113835.48</v>
      </c>
      <c r="D66">
        <v>136369.31</v>
      </c>
      <c r="E66">
        <v>161888.66</v>
      </c>
      <c r="F66">
        <v>165716.13</v>
      </c>
      <c r="G66">
        <v>164968.32999999999</v>
      </c>
      <c r="H66">
        <v>172388.49</v>
      </c>
      <c r="I66">
        <v>204283.13</v>
      </c>
      <c r="J66">
        <v>234721.74</v>
      </c>
      <c r="K66">
        <v>276013.15999999997</v>
      </c>
    </row>
    <row r="67" spans="1:11" s="6" customFormat="1" x14ac:dyDescent="0.3">
      <c r="A67" s="6" t="s">
        <v>72</v>
      </c>
      <c r="B67">
        <v>5817.6</v>
      </c>
      <c r="C67">
        <v>7199.26</v>
      </c>
      <c r="D67">
        <v>8489.82</v>
      </c>
      <c r="E67">
        <v>8677.89</v>
      </c>
      <c r="F67">
        <v>6928.28</v>
      </c>
      <c r="G67">
        <v>6007.76</v>
      </c>
      <c r="H67">
        <v>6373.95</v>
      </c>
      <c r="I67">
        <v>7028.02</v>
      </c>
      <c r="J67">
        <v>7459.4</v>
      </c>
      <c r="K67">
        <v>8279.7000000000007</v>
      </c>
    </row>
    <row r="68" spans="1:11" x14ac:dyDescent="0.3">
      <c r="A68" s="6" t="s">
        <v>41</v>
      </c>
      <c r="B68">
        <v>9116.1200000000008</v>
      </c>
      <c r="C68">
        <v>8886.01</v>
      </c>
      <c r="D68">
        <v>9335.57</v>
      </c>
      <c r="E68">
        <v>12200.16</v>
      </c>
      <c r="F68">
        <v>11111.86</v>
      </c>
      <c r="G68">
        <v>9615.41</v>
      </c>
      <c r="H68">
        <v>11595.82</v>
      </c>
      <c r="I68">
        <v>16854.97</v>
      </c>
      <c r="J68">
        <v>18590.47</v>
      </c>
      <c r="K68">
        <v>20330.93</v>
      </c>
    </row>
    <row r="69" spans="1:11" x14ac:dyDescent="0.3">
      <c r="A69" s="4" t="s">
        <v>73</v>
      </c>
      <c r="B69">
        <v>4527.55</v>
      </c>
      <c r="C69">
        <v>4654.03</v>
      </c>
      <c r="D69">
        <v>6547.6</v>
      </c>
      <c r="E69">
        <v>8734.91</v>
      </c>
      <c r="F69">
        <v>7910.9</v>
      </c>
      <c r="G69">
        <v>12851.99</v>
      </c>
      <c r="H69">
        <v>11117.61</v>
      </c>
      <c r="I69">
        <v>11273.43</v>
      </c>
      <c r="J69">
        <v>12012.75</v>
      </c>
      <c r="K69">
        <v>20614.84</v>
      </c>
    </row>
    <row r="70" spans="1:11" x14ac:dyDescent="0.3">
      <c r="A70" s="4" t="s">
        <v>74</v>
      </c>
      <c r="B70">
        <v>592633807</v>
      </c>
      <c r="C70">
        <v>621092384</v>
      </c>
      <c r="D70">
        <v>1243192544</v>
      </c>
      <c r="E70">
        <v>1243192544</v>
      </c>
      <c r="F70">
        <v>1243192544</v>
      </c>
      <c r="G70">
        <v>1110297953</v>
      </c>
      <c r="H70">
        <v>1112130815</v>
      </c>
      <c r="I70">
        <v>1198118224</v>
      </c>
      <c r="J70">
        <v>1114775772</v>
      </c>
      <c r="K70">
        <v>1116313361</v>
      </c>
    </row>
    <row r="71" spans="1:11" x14ac:dyDescent="0.3">
      <c r="A71" s="4" t="s">
        <v>75</v>
      </c>
      <c r="D71">
        <v>621596272</v>
      </c>
    </row>
    <row r="72" spans="1:11" x14ac:dyDescent="0.3">
      <c r="A72" s="4" t="s">
        <v>76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77</v>
      </c>
    </row>
    <row r="81" spans="1:11" s="18" customFormat="1" x14ac:dyDescent="0.3">
      <c r="A81" s="17" t="s">
        <v>61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46</v>
      </c>
      <c r="B82">
        <v>2384.7600000000002</v>
      </c>
      <c r="C82">
        <v>183.09</v>
      </c>
      <c r="D82">
        <v>681.86</v>
      </c>
      <c r="E82">
        <v>-4347.29</v>
      </c>
      <c r="F82">
        <v>-1456.93</v>
      </c>
      <c r="G82">
        <v>17908.830000000002</v>
      </c>
      <c r="H82">
        <v>9247.5499999999993</v>
      </c>
      <c r="I82">
        <v>-7074.02</v>
      </c>
      <c r="J82">
        <v>-5629.95</v>
      </c>
      <c r="K82">
        <v>3175.81</v>
      </c>
    </row>
    <row r="83" spans="1:11" s="6" customFormat="1" x14ac:dyDescent="0.3">
      <c r="A83" s="6" t="s">
        <v>47</v>
      </c>
      <c r="B83">
        <v>-5505.97</v>
      </c>
      <c r="C83">
        <v>-5875.29</v>
      </c>
      <c r="D83">
        <v>-5467.22</v>
      </c>
      <c r="E83">
        <v>-7173.97</v>
      </c>
      <c r="F83">
        <v>-6869.79</v>
      </c>
      <c r="G83">
        <v>-19685.5</v>
      </c>
      <c r="H83">
        <v>-3251.95</v>
      </c>
      <c r="I83">
        <v>-8866.27</v>
      </c>
      <c r="J83">
        <v>-5614.77</v>
      </c>
      <c r="K83">
        <v>-18616.13</v>
      </c>
    </row>
    <row r="84" spans="1:11" s="6" customFormat="1" x14ac:dyDescent="0.3">
      <c r="A84" s="6" t="s">
        <v>48</v>
      </c>
      <c r="B84">
        <v>2966.81</v>
      </c>
      <c r="C84">
        <v>6107.97</v>
      </c>
      <c r="D84">
        <v>6314.5</v>
      </c>
      <c r="E84">
        <v>13193.63</v>
      </c>
      <c r="F84">
        <v>6932.75</v>
      </c>
      <c r="G84">
        <v>406.23</v>
      </c>
      <c r="H84">
        <v>-5882.6</v>
      </c>
      <c r="I84">
        <v>15946.11</v>
      </c>
      <c r="J84">
        <v>12281.41</v>
      </c>
      <c r="K84">
        <v>15834.11</v>
      </c>
    </row>
    <row r="85" spans="1:11" s="1" customFormat="1" x14ac:dyDescent="0.3">
      <c r="A85" s="6" t="s">
        <v>49</v>
      </c>
      <c r="B85">
        <v>-154.4</v>
      </c>
      <c r="C85">
        <v>415.77</v>
      </c>
      <c r="D85">
        <v>1529.14</v>
      </c>
      <c r="E85">
        <v>1672.37</v>
      </c>
      <c r="F85">
        <v>-1393.97</v>
      </c>
      <c r="G85">
        <v>-1370.44</v>
      </c>
      <c r="H85">
        <v>113</v>
      </c>
      <c r="I85">
        <v>5.82</v>
      </c>
      <c r="J85">
        <v>1036.69</v>
      </c>
      <c r="K85">
        <v>393.79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78</v>
      </c>
      <c r="B90">
        <v>605.35</v>
      </c>
      <c r="C90">
        <v>643.45000000000005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3">
      <c r="A92" s="1" t="s">
        <v>79</v>
      </c>
    </row>
    <row r="93" spans="1:11" x14ac:dyDescent="0.3">
      <c r="A93" s="4" t="s">
        <v>80</v>
      </c>
      <c r="B93" s="19">
        <v>124.22</v>
      </c>
      <c r="C93" s="19">
        <v>124.22</v>
      </c>
      <c r="D93" s="19">
        <v>124.32</v>
      </c>
      <c r="E93" s="19">
        <v>124.32</v>
      </c>
      <c r="F93" s="19">
        <v>124.32</v>
      </c>
      <c r="G93" s="19">
        <v>124.32</v>
      </c>
      <c r="H93" s="19">
        <v>124.32</v>
      </c>
      <c r="I93" s="19">
        <v>124.35</v>
      </c>
      <c r="J93" s="19">
        <v>124.35</v>
      </c>
      <c r="K93" s="19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E6" sqref="E6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MAHINDRA &amp; MAHINDRA LTD</v>
      </c>
      <c r="H1" t="str">
        <f>UPDATE</f>
        <v/>
      </c>
      <c r="J1" s="3"/>
      <c r="K1" s="3"/>
      <c r="M1" s="2" t="s">
        <v>0</v>
      </c>
    </row>
    <row r="3" spans="1:14" s="2" customFormat="1" x14ac:dyDescent="0.3">
      <c r="A3" s="11" t="s">
        <v>1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2" t="s">
        <v>94</v>
      </c>
      <c r="H3" s="12" t="s">
        <v>95</v>
      </c>
      <c r="I3" s="12" t="s">
        <v>96</v>
      </c>
      <c r="J3" s="12" t="s">
        <v>97</v>
      </c>
      <c r="K3" s="12" t="s">
        <v>98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75841.42</v>
      </c>
      <c r="C4" s="1">
        <f>'Data Sheet'!C17</f>
        <v>83773.05</v>
      </c>
      <c r="D4" s="1">
        <f>'Data Sheet'!D17</f>
        <v>92093.95</v>
      </c>
      <c r="E4" s="1">
        <f>'Data Sheet'!E17</f>
        <v>104720.68</v>
      </c>
      <c r="F4" s="1">
        <f>'Data Sheet'!F17</f>
        <v>75381.929999999993</v>
      </c>
      <c r="G4" s="1">
        <f>'Data Sheet'!G17</f>
        <v>74277.78</v>
      </c>
      <c r="H4" s="1">
        <f>'Data Sheet'!H17</f>
        <v>90170.57</v>
      </c>
      <c r="I4" s="1">
        <f>'Data Sheet'!I17</f>
        <v>121268.55</v>
      </c>
      <c r="J4" s="1">
        <f>'Data Sheet'!J17</f>
        <v>139078.26999999999</v>
      </c>
      <c r="K4" s="1">
        <f>'Data Sheet'!K17</f>
        <v>159210.82</v>
      </c>
      <c r="L4" s="1" t="e">
        <f>SUM(#REF!)</f>
        <v>#REF!</v>
      </c>
      <c r="M4" s="1">
        <f>$K4+M23*K4</f>
        <v>192431.05779815</v>
      </c>
      <c r="N4" s="1" t="e">
        <f>$K4+N23*L4</f>
        <v>#REF!</v>
      </c>
    </row>
    <row r="5" spans="1:14" x14ac:dyDescent="0.3">
      <c r="A5" t="s">
        <v>6</v>
      </c>
      <c r="B5" s="6">
        <f>SUM('Data Sheet'!B18,'Data Sheet'!B20:B24, -1*'Data Sheet'!B19)</f>
        <v>65758.98000000001</v>
      </c>
      <c r="C5" s="6">
        <f>SUM('Data Sheet'!C18,'Data Sheet'!C20:C24, -1*'Data Sheet'!C19)</f>
        <v>73038.22</v>
      </c>
      <c r="D5" s="6">
        <f>SUM('Data Sheet'!D18,'Data Sheet'!D20:D24, -1*'Data Sheet'!D19)</f>
        <v>78867.850000000006</v>
      </c>
      <c r="E5" s="6">
        <f>SUM('Data Sheet'!E18,'Data Sheet'!E20:E24, -1*'Data Sheet'!E19)</f>
        <v>89514.17</v>
      </c>
      <c r="F5" s="6">
        <f>SUM('Data Sheet'!F18,'Data Sheet'!F20:F24, -1*'Data Sheet'!F19)</f>
        <v>65224.180000000008</v>
      </c>
      <c r="G5" s="6">
        <f>SUM('Data Sheet'!G18,'Data Sheet'!G20:G24, -1*'Data Sheet'!G19)</f>
        <v>62790.759999999995</v>
      </c>
      <c r="H5" s="6">
        <f>SUM('Data Sheet'!H18,'Data Sheet'!H20:H24, -1*'Data Sheet'!H19)</f>
        <v>75487.719999999987</v>
      </c>
      <c r="I5" s="6">
        <f>SUM('Data Sheet'!I18,'Data Sheet'!I20:I24, -1*'Data Sheet'!I19)</f>
        <v>100983.25999999998</v>
      </c>
      <c r="J5" s="6">
        <f>SUM('Data Sheet'!J18,'Data Sheet'!J20:J24, -1*'Data Sheet'!J19)</f>
        <v>114186.34</v>
      </c>
      <c r="K5" s="6">
        <f>SUM('Data Sheet'!K18,'Data Sheet'!K20:K24, -1*'Data Sheet'!K19)</f>
        <v>128692.63</v>
      </c>
      <c r="L5" s="6" t="e">
        <f>SUM(#REF!)</f>
        <v>#REF!</v>
      </c>
      <c r="M5" s="6" t="e">
        <f t="shared" ref="M5:N5" si="0">M4-M6</f>
        <v>#REF!</v>
      </c>
      <c r="N5" s="6" t="e">
        <f t="shared" si="0"/>
        <v>#REF!</v>
      </c>
    </row>
    <row r="6" spans="1:14" s="2" customFormat="1" x14ac:dyDescent="0.3">
      <c r="A6" s="2" t="s">
        <v>7</v>
      </c>
      <c r="B6" s="1">
        <f>B4-B5</f>
        <v>10082.439999999988</v>
      </c>
      <c r="C6" s="1">
        <f t="shared" ref="C6:K6" si="1">C4-C5</f>
        <v>10734.830000000002</v>
      </c>
      <c r="D6" s="1">
        <f t="shared" si="1"/>
        <v>13226.099999999991</v>
      </c>
      <c r="E6" s="1">
        <f t="shared" si="1"/>
        <v>15206.509999999995</v>
      </c>
      <c r="F6" s="1">
        <f t="shared" si="1"/>
        <v>10157.749999999985</v>
      </c>
      <c r="G6" s="1">
        <f t="shared" si="1"/>
        <v>11487.020000000004</v>
      </c>
      <c r="H6" s="1">
        <f t="shared" si="1"/>
        <v>14682.85000000002</v>
      </c>
      <c r="I6" s="1">
        <f t="shared" si="1"/>
        <v>20285.290000000023</v>
      </c>
      <c r="J6" s="1">
        <f t="shared" si="1"/>
        <v>24891.929999999993</v>
      </c>
      <c r="K6" s="1">
        <f t="shared" si="1"/>
        <v>30518.190000000002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3">
      <c r="A7" t="s">
        <v>8</v>
      </c>
      <c r="B7" s="6">
        <f>'Data Sheet'!B25</f>
        <v>1398.83</v>
      </c>
      <c r="C7" s="6">
        <f>'Data Sheet'!C25</f>
        <v>2076.61</v>
      </c>
      <c r="D7" s="6">
        <f>'Data Sheet'!D25</f>
        <v>4366.41</v>
      </c>
      <c r="E7" s="6">
        <f>'Data Sheet'!E25</f>
        <v>2676.45</v>
      </c>
      <c r="F7" s="6">
        <f>'Data Sheet'!F25</f>
        <v>884.69</v>
      </c>
      <c r="G7" s="6">
        <f>'Data Sheet'!G25</f>
        <v>1151.51</v>
      </c>
      <c r="H7" s="6">
        <f>'Data Sheet'!H25</f>
        <v>3204.47</v>
      </c>
      <c r="I7" s="6">
        <f>'Data Sheet'!I25</f>
        <v>3961.45</v>
      </c>
      <c r="J7" s="6">
        <f>'Data Sheet'!J25</f>
        <v>3297.85</v>
      </c>
      <c r="K7" s="6">
        <f>'Data Sheet'!K25</f>
        <v>3718.47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2441.65</v>
      </c>
      <c r="C8" s="6">
        <f>'Data Sheet'!C26</f>
        <v>2812.72</v>
      </c>
      <c r="D8" s="6">
        <f>'Data Sheet'!D26</f>
        <v>3279.9</v>
      </c>
      <c r="E8" s="6">
        <f>'Data Sheet'!E26</f>
        <v>3990.77</v>
      </c>
      <c r="F8" s="6">
        <f>'Data Sheet'!F26</f>
        <v>3366.68</v>
      </c>
      <c r="G8" s="6">
        <f>'Data Sheet'!G26</f>
        <v>3378.11</v>
      </c>
      <c r="H8" s="6">
        <f>'Data Sheet'!H26</f>
        <v>3507.5</v>
      </c>
      <c r="I8" s="6">
        <f>'Data Sheet'!I26</f>
        <v>4356.8100000000004</v>
      </c>
      <c r="J8" s="6">
        <f>'Data Sheet'!J26</f>
        <v>4723.78</v>
      </c>
      <c r="K8" s="6">
        <f>'Data Sheet'!K26</f>
        <v>6073.65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10</v>
      </c>
      <c r="B9" s="6">
        <f>'Data Sheet'!B27</f>
        <v>3367.59</v>
      </c>
      <c r="C9" s="6">
        <f>'Data Sheet'!C27</f>
        <v>3648.46</v>
      </c>
      <c r="D9" s="6">
        <f>'Data Sheet'!D27</f>
        <v>3987.09</v>
      </c>
      <c r="E9" s="6">
        <f>'Data Sheet'!E27</f>
        <v>5021.3500000000004</v>
      </c>
      <c r="F9" s="6">
        <f>'Data Sheet'!F27</f>
        <v>6021.15</v>
      </c>
      <c r="G9" s="6">
        <f>'Data Sheet'!G27</f>
        <v>6102.22</v>
      </c>
      <c r="H9" s="6">
        <f>'Data Sheet'!H27</f>
        <v>5018.05</v>
      </c>
      <c r="I9" s="6">
        <f>'Data Sheet'!I27</f>
        <v>5829.7</v>
      </c>
      <c r="J9" s="6">
        <f>'Data Sheet'!J27</f>
        <v>7488.21</v>
      </c>
      <c r="K9" s="6">
        <f>'Data Sheet'!K27</f>
        <v>9083.39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11</v>
      </c>
      <c r="B10" s="6">
        <f>'Data Sheet'!B28</f>
        <v>5672.03</v>
      </c>
      <c r="C10" s="6">
        <f>'Data Sheet'!C28</f>
        <v>6350.26</v>
      </c>
      <c r="D10" s="6">
        <f>'Data Sheet'!D28</f>
        <v>10325.52</v>
      </c>
      <c r="E10" s="6">
        <f>'Data Sheet'!E28</f>
        <v>8870.84</v>
      </c>
      <c r="F10" s="6">
        <f>'Data Sheet'!F28</f>
        <v>1654.61</v>
      </c>
      <c r="G10" s="6">
        <f>'Data Sheet'!G28</f>
        <v>3158.2</v>
      </c>
      <c r="H10" s="6">
        <f>'Data Sheet'!H28</f>
        <v>9361.77</v>
      </c>
      <c r="I10" s="6">
        <f>'Data Sheet'!I28</f>
        <v>14060.23</v>
      </c>
      <c r="J10" s="6">
        <f>'Data Sheet'!J28</f>
        <v>15977.79</v>
      </c>
      <c r="K10" s="6">
        <f>'Data Sheet'!K28</f>
        <v>19079.62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12</v>
      </c>
      <c r="B11" s="6">
        <f>'Data Sheet'!B29</f>
        <v>2117.5300000000002</v>
      </c>
      <c r="C11" s="6">
        <f>'Data Sheet'!C29</f>
        <v>2299.73</v>
      </c>
      <c r="D11" s="6">
        <f>'Data Sheet'!D29</f>
        <v>2367.73</v>
      </c>
      <c r="E11" s="6">
        <f>'Data Sheet'!E29</f>
        <v>2853.99</v>
      </c>
      <c r="F11" s="6">
        <f>'Data Sheet'!F29</f>
        <v>1975.61</v>
      </c>
      <c r="G11" s="6">
        <f>'Data Sheet'!G29</f>
        <v>1645.81</v>
      </c>
      <c r="H11" s="6">
        <f>'Data Sheet'!H29</f>
        <v>2108.7600000000002</v>
      </c>
      <c r="I11" s="6">
        <f>'Data Sheet'!I29</f>
        <v>2685.75</v>
      </c>
      <c r="J11" s="6">
        <f>'Data Sheet'!J29</f>
        <v>3707.97</v>
      </c>
      <c r="K11" s="6">
        <f>'Data Sheet'!K29</f>
        <v>5006.45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13</v>
      </c>
      <c r="B12" s="1">
        <f>'Data Sheet'!B30</f>
        <v>3148.43</v>
      </c>
      <c r="C12" s="1">
        <f>'Data Sheet'!C30</f>
        <v>3698.04</v>
      </c>
      <c r="D12" s="1">
        <f>'Data Sheet'!D30</f>
        <v>7510.39</v>
      </c>
      <c r="E12" s="1">
        <f>'Data Sheet'!E30</f>
        <v>5315.46</v>
      </c>
      <c r="F12" s="1">
        <f>'Data Sheet'!F30</f>
        <v>127.04</v>
      </c>
      <c r="G12" s="1">
        <f>'Data Sheet'!G30</f>
        <v>1812.49</v>
      </c>
      <c r="H12" s="1">
        <f>'Data Sheet'!H30</f>
        <v>6577.32</v>
      </c>
      <c r="I12" s="1">
        <f>'Data Sheet'!I30</f>
        <v>10281.5</v>
      </c>
      <c r="J12" s="1">
        <f>'Data Sheet'!J30</f>
        <v>11268.64</v>
      </c>
      <c r="K12" s="1">
        <f>'Data Sheet'!K30</f>
        <v>12929.1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14</v>
      </c>
      <c r="B13" s="6">
        <f>IF('Data Sheet'!B93&gt;0,B12/'Data Sheet'!B93,0)</f>
        <v>25.345596522299147</v>
      </c>
      <c r="C13" s="6">
        <f>IF('Data Sheet'!C93&gt;0,C12/'Data Sheet'!C93,0)</f>
        <v>29.770085332474643</v>
      </c>
      <c r="D13" s="6">
        <f>IF('Data Sheet'!D93&gt;0,D12/'Data Sheet'!D93,0)</f>
        <v>60.411759974259979</v>
      </c>
      <c r="E13" s="6">
        <f>IF('Data Sheet'!E93&gt;0,E12/'Data Sheet'!E93,0)</f>
        <v>42.756274131274132</v>
      </c>
      <c r="F13" s="6">
        <f>IF('Data Sheet'!F93&gt;0,F12/'Data Sheet'!F93,0)</f>
        <v>1.0218790218790219</v>
      </c>
      <c r="G13" s="6">
        <f>IF('Data Sheet'!G93&gt;0,G12/'Data Sheet'!G93,0)</f>
        <v>14.579231016731018</v>
      </c>
      <c r="H13" s="6">
        <f>IF('Data Sheet'!H93&gt;0,H12/'Data Sheet'!H93,0)</f>
        <v>52.906370656370655</v>
      </c>
      <c r="I13" s="6">
        <f>IF('Data Sheet'!I93&gt;0,I12/'Data Sheet'!I93,0)</f>
        <v>82.681946119823081</v>
      </c>
      <c r="J13" s="6">
        <f>IF('Data Sheet'!J93&gt;0,J12/'Data Sheet'!J93,0)</f>
        <v>90.620345798150382</v>
      </c>
      <c r="K13" s="6">
        <f>IF('Data Sheet'!K93&gt;0,K12/'Data Sheet'!K93,0)</f>
        <v>103.97346200241255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15</v>
      </c>
      <c r="B14" s="6">
        <f>IF(B15&gt;0,B15/B13,"")</f>
        <v>23.883833212108893</v>
      </c>
      <c r="C14" s="6">
        <f t="shared" ref="C14:K14" si="2">IF(C15&gt;0,C15/C13,"")</f>
        <v>21.613979026727673</v>
      </c>
      <c r="D14" s="6">
        <f t="shared" si="2"/>
        <v>12.231062301691388</v>
      </c>
      <c r="E14" s="6">
        <f t="shared" si="2"/>
        <v>15.761429490580307</v>
      </c>
      <c r="F14" s="6">
        <f t="shared" si="2"/>
        <v>278.8490554156171</v>
      </c>
      <c r="G14" s="6">
        <f t="shared" si="2"/>
        <v>54.546772671849219</v>
      </c>
      <c r="H14" s="6">
        <f t="shared" si="2"/>
        <v>15.24485595957016</v>
      </c>
      <c r="I14" s="6">
        <f t="shared" si="2"/>
        <v>14.013942031804698</v>
      </c>
      <c r="J14" s="6">
        <f t="shared" si="2"/>
        <v>21.202192323119736</v>
      </c>
      <c r="K14" s="6">
        <f t="shared" si="2"/>
        <v>25.639234749518529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16</v>
      </c>
      <c r="B15" s="1">
        <f>'Data Sheet'!B90</f>
        <v>605.35</v>
      </c>
      <c r="C15" s="1">
        <f>'Data Sheet'!C90</f>
        <v>643.45000000000005</v>
      </c>
      <c r="D15" s="1">
        <f>'Data Sheet'!D90</f>
        <v>738.9</v>
      </c>
      <c r="E15" s="1">
        <f>'Data Sheet'!E90</f>
        <v>673.9</v>
      </c>
      <c r="F15" s="1">
        <f>'Data Sheet'!F90</f>
        <v>284.95</v>
      </c>
      <c r="G15" s="1">
        <f>'Data Sheet'!G90</f>
        <v>795.25</v>
      </c>
      <c r="H15" s="1">
        <f>'Data Sheet'!H90</f>
        <v>806.55</v>
      </c>
      <c r="I15" s="1">
        <f>'Data Sheet'!I90</f>
        <v>1158.7</v>
      </c>
      <c r="J15" s="1">
        <f>'Data Sheet'!J90</f>
        <v>1921.35</v>
      </c>
      <c r="K15" s="1">
        <f>'Data Sheet'!K90</f>
        <v>2665.8</v>
      </c>
      <c r="L15" s="1">
        <f>'Data Sheet'!B8</f>
        <v>3126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17</v>
      </c>
    </row>
    <row r="18" spans="1:14" x14ac:dyDescent="0.3">
      <c r="A18" t="s">
        <v>18</v>
      </c>
      <c r="B18" s="5">
        <f>IF('Data Sheet'!B30&gt;0, 'Data Sheet'!B31/'Data Sheet'!B30, 0)</f>
        <v>0.20612178133228309</v>
      </c>
      <c r="C18" s="5">
        <f>IF('Data Sheet'!C30&gt;0, 'Data Sheet'!C31/'Data Sheet'!C30, 0)</f>
        <v>0.2183399855058355</v>
      </c>
      <c r="D18" s="5">
        <f>IF('Data Sheet'!D30&gt;0, 'Data Sheet'!D31/'Data Sheet'!D30, 0)</f>
        <v>0.10847639070674094</v>
      </c>
      <c r="E18" s="5">
        <f>IF('Data Sheet'!E30&gt;0, 'Data Sheet'!E31/'Data Sheet'!E30, 0)</f>
        <v>0.17396989159922188</v>
      </c>
      <c r="F18" s="5">
        <f>IF('Data Sheet'!F30&gt;0, 'Data Sheet'!F31/'Data Sheet'!F30, 0)</f>
        <v>2.0506139798488663</v>
      </c>
      <c r="G18" s="5">
        <f>IF('Data Sheet'!G30&gt;0, 'Data Sheet'!G31/'Data Sheet'!G30, 0)</f>
        <v>0.53600847452951461</v>
      </c>
      <c r="H18" s="5">
        <f>IF('Data Sheet'!H30&gt;0, 'Data Sheet'!H31/'Data Sheet'!H30, 0)</f>
        <v>0.1952923075051845</v>
      </c>
      <c r="I18" s="5">
        <f>IF('Data Sheet'!I30&gt;0, 'Data Sheet'!I31/'Data Sheet'!I30, 0)</f>
        <v>0.17601128240042796</v>
      </c>
      <c r="J18" s="5">
        <f>IF('Data Sheet'!J30&gt;0, 'Data Sheet'!J31/'Data Sheet'!J30, 0)</f>
        <v>0.2087332632864303</v>
      </c>
      <c r="K18" s="5">
        <f>IF('Data Sheet'!K30&gt;0, 'Data Sheet'!K31/'Data Sheet'!K30, 0)</f>
        <v>0.21844057204291092</v>
      </c>
    </row>
    <row r="19" spans="1:14" x14ac:dyDescent="0.3">
      <c r="A19" t="s">
        <v>19</v>
      </c>
      <c r="B19" s="5">
        <f t="shared" ref="B19:L19" si="4">IF(B6&gt;0,B6/B4,0)</f>
        <v>0.1329410762614939</v>
      </c>
      <c r="C19" s="5">
        <f t="shared" ref="C19:K19" si="5">IF(C6&gt;0,C6/C4,0)</f>
        <v>0.12814180694149255</v>
      </c>
      <c r="D19" s="5">
        <f t="shared" si="5"/>
        <v>0.143615297204648</v>
      </c>
      <c r="E19" s="5">
        <f t="shared" si="5"/>
        <v>0.14521019153045986</v>
      </c>
      <c r="F19" s="5">
        <f t="shared" si="5"/>
        <v>0.13475046340681363</v>
      </c>
      <c r="G19" s="5">
        <f t="shared" si="5"/>
        <v>0.15464947929246142</v>
      </c>
      <c r="H19" s="5">
        <f t="shared" si="5"/>
        <v>0.16283417083866741</v>
      </c>
      <c r="I19" s="5">
        <f t="shared" si="5"/>
        <v>0.16727576935652336</v>
      </c>
      <c r="J19" s="5">
        <f t="shared" si="5"/>
        <v>0.17897785182401243</v>
      </c>
      <c r="K19" s="5">
        <f t="shared" si="5"/>
        <v>0.19168414558759261</v>
      </c>
      <c r="L19" s="5" t="e">
        <f t="shared" si="4"/>
        <v>#REF!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20</v>
      </c>
      <c r="H22" s="12" t="s">
        <v>21</v>
      </c>
      <c r="I22" s="12" t="s">
        <v>22</v>
      </c>
      <c r="J22" s="12" t="s">
        <v>23</v>
      </c>
      <c r="K22" s="12" t="s">
        <v>24</v>
      </c>
      <c r="L22" s="13" t="s">
        <v>25</v>
      </c>
      <c r="M22" s="13" t="s">
        <v>26</v>
      </c>
      <c r="N22" s="13" t="s">
        <v>27</v>
      </c>
    </row>
    <row r="23" spans="1:14" s="2" customFormat="1" x14ac:dyDescent="0.3">
      <c r="A23"/>
      <c r="B23"/>
      <c r="C23"/>
      <c r="D23"/>
      <c r="E23"/>
      <c r="F23"/>
      <c r="G23" t="s">
        <v>28</v>
      </c>
      <c r="H23" s="5">
        <f>IF(B4=0,"",POWER($K4/B4,1/9)-1)</f>
        <v>8.588822750317493E-2</v>
      </c>
      <c r="I23" s="5">
        <f>IF(D4=0,"",POWER($K4/D4,1/7)-1)</f>
        <v>8.1341991942898151E-2</v>
      </c>
      <c r="J23" s="5">
        <f>IF(F4=0,"",POWER($K4/F4,1/5)-1)</f>
        <v>0.16129101353708974</v>
      </c>
      <c r="K23" s="5">
        <f>IF(H4=0,"",POWER($K4/H4, 1/3)-1)</f>
        <v>0.20865565417067744</v>
      </c>
      <c r="L23" s="5" t="str">
        <f>IF(ISERROR(MAX(IF(J4=0,"",(K4-J4)/J4),IF(K4=0,"",(L4-K4)/K4))),"",MAX(IF(J4=0,"",(K4-J4)/J4),IF(K4=0,"",(L4-K4)/K4)))</f>
        <v/>
      </c>
      <c r="M23" s="16">
        <f>MAX(K23:L23)</f>
        <v>0.20865565417067744</v>
      </c>
      <c r="N23" s="16">
        <f>MIN(H23:L23)</f>
        <v>8.1341991942898151E-2</v>
      </c>
    </row>
    <row r="24" spans="1:14" x14ac:dyDescent="0.3">
      <c r="G24" t="s">
        <v>19</v>
      </c>
      <c r="H24" s="5">
        <f>IF(SUM(B4:$K$4)=0,"",SUMPRODUCT(B19:$K$19,B4:$K$4)/SUM(B4:$K$4))</f>
        <v>0.15876177187895513</v>
      </c>
      <c r="I24" s="5">
        <f>IF(SUM(E4:$K$4)=0,"",SUMPRODUCT(E19:$K$19,E4:$K$4)/SUM(E4:$K$4))</f>
        <v>0.16650714309458112</v>
      </c>
      <c r="J24" s="5">
        <f>IF(SUM(G4:$K$4)=0,"",SUMPRODUCT(G19:$K$19,G4:$K$4)/SUM(G4:$K$4))</f>
        <v>0.17442506026350868</v>
      </c>
      <c r="K24" s="5">
        <f>IF(SUM(I4:$K$4)=0, "", SUMPRODUCT(I19:$K$19,I4:$K$4)/SUM(I4:$K$4))</f>
        <v>0.18041718892307626</v>
      </c>
      <c r="L24" s="5" t="e">
        <f>L19</f>
        <v>#REF!</v>
      </c>
      <c r="M24" s="16" t="e">
        <f>MAX(K24:L24)</f>
        <v>#REF!</v>
      </c>
      <c r="N24" s="16" t="e">
        <f>MIN(H24:L24)</f>
        <v>#REF!</v>
      </c>
    </row>
    <row r="25" spans="1:14" x14ac:dyDescent="0.3">
      <c r="G25" t="s">
        <v>29</v>
      </c>
      <c r="H25" s="6">
        <f>IF(ISERROR(AVERAGEIF(B14:$L14,"&gt;0")),"",AVERAGEIF(B14:$L14,"&gt;0"))</f>
        <v>48.298635718258772</v>
      </c>
      <c r="I25" s="6">
        <f>IF(ISERROR(AVERAGEIF(E14:$L14,"&gt;0")),"",AVERAGEIF(E14:$L14,"&gt;0"))</f>
        <v>60.751068948865679</v>
      </c>
      <c r="J25" s="6">
        <f>IF(ISERROR(AVERAGEIF(G14:$L14,"&gt;0")),"",AVERAGEIF(G14:$L14,"&gt;0"))</f>
        <v>26.129399547172465</v>
      </c>
      <c r="K25" s="6">
        <f>IF(ISERROR(AVERAGEIF(I14:$L14,"&gt;0")),"",AVERAGEIF(I14:$L14,"&gt;0"))</f>
        <v>20.285123034814323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A3" sqref="A3:K24"/>
    </sheetView>
  </sheetViews>
  <sheetFormatPr defaultColWidth="8.77734375" defaultRowHeight="14.4" x14ac:dyDescent="0.3"/>
  <cols>
    <col min="1" max="1" width="22.77734375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MAHINDRA &amp; MAHINDRA LTD</v>
      </c>
      <c r="E1" t="str">
        <f>UPDATE</f>
        <v/>
      </c>
      <c r="G1"/>
      <c r="J1" s="2" t="s">
        <v>0</v>
      </c>
    </row>
    <row r="2" spans="1:11" x14ac:dyDescent="0.3">
      <c r="G2" s="2"/>
      <c r="H2" s="2"/>
    </row>
    <row r="3" spans="1:11" x14ac:dyDescent="0.3">
      <c r="A3" s="11" t="s">
        <v>1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2" t="s">
        <v>94</v>
      </c>
      <c r="H3" s="12" t="s">
        <v>95</v>
      </c>
      <c r="I3" s="12" t="s">
        <v>96</v>
      </c>
      <c r="J3" s="12" t="s">
        <v>97</v>
      </c>
      <c r="K3" s="12" t="s">
        <v>98</v>
      </c>
    </row>
    <row r="4" spans="1:11" x14ac:dyDescent="0.3">
      <c r="A4" t="s">
        <v>30</v>
      </c>
      <c r="B4" s="14">
        <f>'Data Sheet'!B57</f>
        <v>270.39999999999998</v>
      </c>
      <c r="C4" s="14">
        <f>'Data Sheet'!C57</f>
        <v>310.55</v>
      </c>
      <c r="D4" s="14">
        <f>'Data Sheet'!D57</f>
        <v>543.13</v>
      </c>
      <c r="E4" s="14">
        <f>'Data Sheet'!E57</f>
        <v>543.96</v>
      </c>
      <c r="F4" s="14">
        <f>'Data Sheet'!F57</f>
        <v>554.28</v>
      </c>
      <c r="G4" s="14">
        <f>'Data Sheet'!G57</f>
        <v>555.15</v>
      </c>
      <c r="H4" s="14">
        <f>'Data Sheet'!H57</f>
        <v>556.05999999999995</v>
      </c>
      <c r="I4" s="14">
        <f>'Data Sheet'!I57</f>
        <v>556.82000000000005</v>
      </c>
      <c r="J4" s="14">
        <f>'Data Sheet'!J57</f>
        <v>557.38</v>
      </c>
      <c r="K4" s="14">
        <f>'Data Sheet'!K57</f>
        <v>558.15</v>
      </c>
    </row>
    <row r="5" spans="1:11" x14ac:dyDescent="0.3">
      <c r="A5" t="s">
        <v>31</v>
      </c>
      <c r="B5" s="14">
        <f>'Data Sheet'!B58</f>
        <v>26222.25</v>
      </c>
      <c r="C5" s="14">
        <f>'Data Sheet'!C58</f>
        <v>29467.1</v>
      </c>
      <c r="D5" s="14">
        <f>'Data Sheet'!D58</f>
        <v>36232.06</v>
      </c>
      <c r="E5" s="14">
        <f>'Data Sheet'!E58</f>
        <v>39439.449999999997</v>
      </c>
      <c r="F5" s="14">
        <f>'Data Sheet'!F58</f>
        <v>39415.03</v>
      </c>
      <c r="G5" s="14">
        <f>'Data Sheet'!G58</f>
        <v>41026.769999999997</v>
      </c>
      <c r="H5" s="14">
        <f>'Data Sheet'!H58</f>
        <v>46566.58</v>
      </c>
      <c r="I5" s="14">
        <f>'Data Sheet'!I58</f>
        <v>55808.97</v>
      </c>
      <c r="J5" s="14">
        <f>'Data Sheet'!J58</f>
        <v>65633.17</v>
      </c>
      <c r="K5" s="14">
        <f>'Data Sheet'!K58</f>
        <v>76480.710000000006</v>
      </c>
    </row>
    <row r="6" spans="1:11" x14ac:dyDescent="0.3">
      <c r="A6" t="s">
        <v>32</v>
      </c>
      <c r="B6" s="14">
        <f>'Data Sheet'!B59</f>
        <v>41552.93</v>
      </c>
      <c r="C6" s="14">
        <f>'Data Sheet'!C59</f>
        <v>48761.91</v>
      </c>
      <c r="D6" s="14">
        <f>'Data Sheet'!D59</f>
        <v>55897.919999999998</v>
      </c>
      <c r="E6" s="14">
        <f>'Data Sheet'!E59</f>
        <v>70848.3</v>
      </c>
      <c r="F6" s="14">
        <f>'Data Sheet'!F59</f>
        <v>82092.28</v>
      </c>
      <c r="G6" s="14">
        <f>'Data Sheet'!G59</f>
        <v>80624.83</v>
      </c>
      <c r="H6" s="14">
        <f>'Data Sheet'!H59</f>
        <v>77605.210000000006</v>
      </c>
      <c r="I6" s="14">
        <f>'Data Sheet'!I59</f>
        <v>92246.85</v>
      </c>
      <c r="J6" s="14">
        <f>'Data Sheet'!J59</f>
        <v>108647.25</v>
      </c>
      <c r="K6" s="14">
        <f>'Data Sheet'!K59</f>
        <v>129024.58</v>
      </c>
    </row>
    <row r="7" spans="1:11" x14ac:dyDescent="0.3">
      <c r="A7" t="s">
        <v>33</v>
      </c>
      <c r="B7" s="14">
        <f>'Data Sheet'!B60</f>
        <v>31806.240000000002</v>
      </c>
      <c r="C7" s="14">
        <f>'Data Sheet'!C60</f>
        <v>35295.919999999998</v>
      </c>
      <c r="D7" s="14">
        <f>'Data Sheet'!D60</f>
        <v>43696.2</v>
      </c>
      <c r="E7" s="14">
        <f>'Data Sheet'!E60</f>
        <v>51056.95</v>
      </c>
      <c r="F7" s="14">
        <f>'Data Sheet'!F60</f>
        <v>43654.54</v>
      </c>
      <c r="G7" s="14">
        <f>'Data Sheet'!G60</f>
        <v>42761.58</v>
      </c>
      <c r="H7" s="14">
        <f>'Data Sheet'!H60</f>
        <v>47660.639999999999</v>
      </c>
      <c r="I7" s="14">
        <f>'Data Sheet'!I60</f>
        <v>55670.49</v>
      </c>
      <c r="J7" s="14">
        <f>'Data Sheet'!J60</f>
        <v>59883.94</v>
      </c>
      <c r="K7" s="14">
        <f>'Data Sheet'!K60</f>
        <v>69949.72</v>
      </c>
    </row>
    <row r="8" spans="1:11" s="2" customFormat="1" x14ac:dyDescent="0.3">
      <c r="A8" s="2" t="s">
        <v>34</v>
      </c>
      <c r="B8" s="15">
        <f>'Data Sheet'!B61</f>
        <v>99851.82</v>
      </c>
      <c r="C8" s="15">
        <f>'Data Sheet'!C61</f>
        <v>113835.48</v>
      </c>
      <c r="D8" s="15">
        <f>'Data Sheet'!D61</f>
        <v>136369.31</v>
      </c>
      <c r="E8" s="15">
        <f>'Data Sheet'!E61</f>
        <v>161888.66</v>
      </c>
      <c r="F8" s="15">
        <f>'Data Sheet'!F61</f>
        <v>165716.13</v>
      </c>
      <c r="G8" s="15">
        <f>'Data Sheet'!G61</f>
        <v>164968.32999999999</v>
      </c>
      <c r="H8" s="15">
        <f>'Data Sheet'!H61</f>
        <v>172388.49</v>
      </c>
      <c r="I8" s="15">
        <f>'Data Sheet'!I61</f>
        <v>204283.13</v>
      </c>
      <c r="J8" s="15">
        <f>'Data Sheet'!J61</f>
        <v>234721.74</v>
      </c>
      <c r="K8" s="15">
        <f>'Data Sheet'!K61</f>
        <v>276013.15999999997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35</v>
      </c>
      <c r="B10" s="14">
        <f>'Data Sheet'!B62</f>
        <v>20584.71</v>
      </c>
      <c r="C10" s="14">
        <f>'Data Sheet'!C62</f>
        <v>20989.01</v>
      </c>
      <c r="D10" s="14">
        <f>'Data Sheet'!D62</f>
        <v>26181.9</v>
      </c>
      <c r="E10" s="14">
        <f>'Data Sheet'!E62</f>
        <v>28982.74</v>
      </c>
      <c r="F10" s="14">
        <f>'Data Sheet'!F62</f>
        <v>29689.27</v>
      </c>
      <c r="G10" s="14">
        <f>'Data Sheet'!G62</f>
        <v>21379.68</v>
      </c>
      <c r="H10" s="14">
        <f>'Data Sheet'!H62</f>
        <v>26018.49</v>
      </c>
      <c r="I10" s="14">
        <f>'Data Sheet'!I62</f>
        <v>27139.98</v>
      </c>
      <c r="J10" s="14">
        <f>'Data Sheet'!J62</f>
        <v>28129.41</v>
      </c>
      <c r="K10" s="14">
        <f>'Data Sheet'!K62</f>
        <v>34636.36</v>
      </c>
    </row>
    <row r="11" spans="1:11" x14ac:dyDescent="0.3">
      <c r="A11" t="s">
        <v>36</v>
      </c>
      <c r="B11" s="14">
        <f>'Data Sheet'!B63</f>
        <v>2371.35</v>
      </c>
      <c r="C11" s="14">
        <f>'Data Sheet'!C63</f>
        <v>4278.9399999999996</v>
      </c>
      <c r="D11" s="14">
        <f>'Data Sheet'!D63</f>
        <v>4269.47</v>
      </c>
      <c r="E11" s="14">
        <f>'Data Sheet'!E63</f>
        <v>4759.84</v>
      </c>
      <c r="F11" s="14">
        <f>'Data Sheet'!F63</f>
        <v>6856.48</v>
      </c>
      <c r="G11" s="14">
        <f>'Data Sheet'!G63</f>
        <v>7872.61</v>
      </c>
      <c r="H11" s="14">
        <f>'Data Sheet'!H63</f>
        <v>6702.81</v>
      </c>
      <c r="I11" s="14">
        <f>'Data Sheet'!I63</f>
        <v>3968.58</v>
      </c>
      <c r="J11" s="14">
        <f>'Data Sheet'!J63</f>
        <v>8039.3</v>
      </c>
      <c r="K11" s="14">
        <f>'Data Sheet'!K63</f>
        <v>8297.64</v>
      </c>
    </row>
    <row r="12" spans="1:11" x14ac:dyDescent="0.3">
      <c r="A12" t="s">
        <v>37</v>
      </c>
      <c r="B12" s="14">
        <f>'Data Sheet'!B64</f>
        <v>11602.58</v>
      </c>
      <c r="C12" s="14">
        <f>'Data Sheet'!C64</f>
        <v>14662.44</v>
      </c>
      <c r="D12" s="14">
        <f>'Data Sheet'!D64</f>
        <v>16017.61</v>
      </c>
      <c r="E12" s="14">
        <f>'Data Sheet'!E64</f>
        <v>18268.099999999999</v>
      </c>
      <c r="F12" s="14">
        <f>'Data Sheet'!F64</f>
        <v>19210.34</v>
      </c>
      <c r="G12" s="14">
        <f>'Data Sheet'!G64</f>
        <v>28777.66</v>
      </c>
      <c r="H12" s="14">
        <f>'Data Sheet'!H64</f>
        <v>30060.43</v>
      </c>
      <c r="I12" s="14">
        <f>'Data Sheet'!I64</f>
        <v>35272.42</v>
      </c>
      <c r="J12" s="14">
        <f>'Data Sheet'!J64</f>
        <v>35208.1</v>
      </c>
      <c r="K12" s="14">
        <f>'Data Sheet'!K64</f>
        <v>41308.57</v>
      </c>
    </row>
    <row r="13" spans="1:11" x14ac:dyDescent="0.3">
      <c r="A13" t="s">
        <v>38</v>
      </c>
      <c r="B13" s="14">
        <f>'Data Sheet'!B65</f>
        <v>65293.18</v>
      </c>
      <c r="C13" s="14">
        <f>'Data Sheet'!C65</f>
        <v>73905.09</v>
      </c>
      <c r="D13" s="14">
        <f>'Data Sheet'!D65</f>
        <v>89900.33</v>
      </c>
      <c r="E13" s="14">
        <f>'Data Sheet'!E65</f>
        <v>109877.98</v>
      </c>
      <c r="F13" s="14">
        <f>'Data Sheet'!F65</f>
        <v>109960.04</v>
      </c>
      <c r="G13" s="14">
        <f>'Data Sheet'!G65</f>
        <v>106938.38</v>
      </c>
      <c r="H13" s="14">
        <f>'Data Sheet'!H65</f>
        <v>109606.76</v>
      </c>
      <c r="I13" s="14">
        <f>'Data Sheet'!I65</f>
        <v>137902.15</v>
      </c>
      <c r="J13" s="14">
        <f>'Data Sheet'!J65</f>
        <v>163344.93</v>
      </c>
      <c r="K13" s="14">
        <f>'Data Sheet'!K65</f>
        <v>191770.59</v>
      </c>
    </row>
    <row r="14" spans="1:11" s="2" customFormat="1" x14ac:dyDescent="0.3">
      <c r="A14" s="2" t="s">
        <v>34</v>
      </c>
      <c r="B14" s="14">
        <f>'Data Sheet'!B66</f>
        <v>99851.82</v>
      </c>
      <c r="C14" s="14">
        <f>'Data Sheet'!C66</f>
        <v>113835.48</v>
      </c>
      <c r="D14" s="14">
        <f>'Data Sheet'!D66</f>
        <v>136369.31</v>
      </c>
      <c r="E14" s="14">
        <f>'Data Sheet'!E66</f>
        <v>161888.66</v>
      </c>
      <c r="F14" s="14">
        <f>'Data Sheet'!F66</f>
        <v>165716.13</v>
      </c>
      <c r="G14" s="14">
        <f>'Data Sheet'!G66</f>
        <v>164968.32999999999</v>
      </c>
      <c r="H14" s="14">
        <f>'Data Sheet'!H66</f>
        <v>172388.49</v>
      </c>
      <c r="I14" s="14">
        <f>'Data Sheet'!I66</f>
        <v>204283.13</v>
      </c>
      <c r="J14" s="14">
        <f>'Data Sheet'!J66</f>
        <v>234721.74</v>
      </c>
      <c r="K14" s="14">
        <f>'Data Sheet'!K66</f>
        <v>276013.15999999997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39</v>
      </c>
      <c r="B16" s="4">
        <f>B13-B7</f>
        <v>33486.94</v>
      </c>
      <c r="C16" s="4">
        <f t="shared" ref="C16:K16" si="0">C13-C7</f>
        <v>38609.17</v>
      </c>
      <c r="D16" s="4">
        <f t="shared" si="0"/>
        <v>46204.130000000005</v>
      </c>
      <c r="E16" s="4">
        <f t="shared" si="0"/>
        <v>58821.03</v>
      </c>
      <c r="F16" s="4">
        <f t="shared" si="0"/>
        <v>66305.5</v>
      </c>
      <c r="G16" s="4">
        <f t="shared" si="0"/>
        <v>64176.800000000003</v>
      </c>
      <c r="H16" s="4">
        <f t="shared" si="0"/>
        <v>61946.119999999995</v>
      </c>
      <c r="I16" s="4">
        <f t="shared" si="0"/>
        <v>82231.66</v>
      </c>
      <c r="J16" s="4">
        <f t="shared" si="0"/>
        <v>103460.98999999999</v>
      </c>
      <c r="K16" s="4">
        <f t="shared" si="0"/>
        <v>121820.87</v>
      </c>
    </row>
    <row r="17" spans="1:11" x14ac:dyDescent="0.3">
      <c r="A17" t="s">
        <v>40</v>
      </c>
      <c r="B17" s="4">
        <f>'Data Sheet'!B67</f>
        <v>5817.6</v>
      </c>
      <c r="C17" s="4">
        <f>'Data Sheet'!C67</f>
        <v>7199.26</v>
      </c>
      <c r="D17" s="4">
        <f>'Data Sheet'!D67</f>
        <v>8489.82</v>
      </c>
      <c r="E17" s="4">
        <f>'Data Sheet'!E67</f>
        <v>8677.89</v>
      </c>
      <c r="F17" s="4">
        <f>'Data Sheet'!F67</f>
        <v>6928.28</v>
      </c>
      <c r="G17" s="4">
        <f>'Data Sheet'!G67</f>
        <v>6007.76</v>
      </c>
      <c r="H17" s="4">
        <f>'Data Sheet'!H67</f>
        <v>6373.95</v>
      </c>
      <c r="I17" s="4">
        <f>'Data Sheet'!I67</f>
        <v>7028.02</v>
      </c>
      <c r="J17" s="4">
        <f>'Data Sheet'!J67</f>
        <v>7459.4</v>
      </c>
      <c r="K17" s="4">
        <f>'Data Sheet'!K67</f>
        <v>8279.7000000000007</v>
      </c>
    </row>
    <row r="18" spans="1:11" x14ac:dyDescent="0.3">
      <c r="A18" t="s">
        <v>41</v>
      </c>
      <c r="B18" s="4">
        <f>'Data Sheet'!B68</f>
        <v>9116.1200000000008</v>
      </c>
      <c r="C18" s="4">
        <f>'Data Sheet'!C68</f>
        <v>8886.01</v>
      </c>
      <c r="D18" s="4">
        <f>'Data Sheet'!D68</f>
        <v>9335.57</v>
      </c>
      <c r="E18" s="4">
        <f>'Data Sheet'!E68</f>
        <v>12200.16</v>
      </c>
      <c r="F18" s="4">
        <f>'Data Sheet'!F68</f>
        <v>11111.86</v>
      </c>
      <c r="G18" s="4">
        <f>'Data Sheet'!G68</f>
        <v>9615.41</v>
      </c>
      <c r="H18" s="4">
        <f>'Data Sheet'!H68</f>
        <v>11595.82</v>
      </c>
      <c r="I18" s="4">
        <f>'Data Sheet'!I68</f>
        <v>16854.97</v>
      </c>
      <c r="J18" s="4">
        <f>'Data Sheet'!J68</f>
        <v>18590.47</v>
      </c>
      <c r="K18" s="4">
        <f>'Data Sheet'!K68</f>
        <v>20330.93</v>
      </c>
    </row>
    <row r="20" spans="1:11" x14ac:dyDescent="0.3">
      <c r="A20" t="s">
        <v>42</v>
      </c>
      <c r="B20" s="4">
        <f>IF('Profit &amp; Loss'!B4&gt;0,'Balance Sheet'!B17/('Profit &amp; Loss'!B4/365),0)</f>
        <v>27.998209949128064</v>
      </c>
      <c r="C20" s="4">
        <f>IF('Profit &amp; Loss'!C4&gt;0,'Balance Sheet'!C17/('Profit &amp; Loss'!C4/365),0)</f>
        <v>31.367246387710608</v>
      </c>
      <c r="D20" s="4">
        <f>IF('Profit &amp; Loss'!D4&gt;0,'Balance Sheet'!D17/('Profit &amp; Loss'!D4/365),0)</f>
        <v>33.648076773772871</v>
      </c>
      <c r="E20" s="4">
        <f>IF('Profit &amp; Loss'!E4&gt;0,'Balance Sheet'!E17/('Profit &amp; Loss'!E4/365),0)</f>
        <v>30.246459916035686</v>
      </c>
      <c r="F20" s="4">
        <f>IF('Profit &amp; Loss'!F4&gt;0,'Balance Sheet'!F17/('Profit &amp; Loss'!F4/365),0)</f>
        <v>33.5467956312607</v>
      </c>
      <c r="G20" s="4">
        <f>IF('Profit &amp; Loss'!G4&gt;0,'Balance Sheet'!G17/('Profit &amp; Loss'!G4/365),0)</f>
        <v>29.522050874433784</v>
      </c>
      <c r="H20" s="4">
        <f>IF('Profit &amp; Loss'!H4&gt;0,'Balance Sheet'!H17/('Profit &amp; Loss'!H4/365),0)</f>
        <v>25.801009686419857</v>
      </c>
      <c r="I20" s="4">
        <f>IF('Profit &amp; Loss'!I4&gt;0,'Balance Sheet'!I17/('Profit &amp; Loss'!I4/365),0)</f>
        <v>21.153277581038118</v>
      </c>
      <c r="J20" s="4">
        <f>IF('Profit &amp; Loss'!J4&gt;0,'Balance Sheet'!J17/('Profit &amp; Loss'!J4/365),0)</f>
        <v>19.576609631396767</v>
      </c>
      <c r="K20" s="4">
        <f>IF('Profit &amp; Loss'!K4&gt;0,'Balance Sheet'!K17/('Profit &amp; Loss'!K4/365),0)</f>
        <v>18.981690440385901</v>
      </c>
    </row>
    <row r="21" spans="1:11" x14ac:dyDescent="0.3">
      <c r="A21" t="s">
        <v>43</v>
      </c>
      <c r="B21" s="4">
        <f>IF('Balance Sheet'!B18&gt;0,'Profit &amp; Loss'!B4/'Balance Sheet'!B18,0)</f>
        <v>8.319484605292601</v>
      </c>
      <c r="C21" s="4">
        <f>IF('Balance Sheet'!C18&gt;0,'Profit &amp; Loss'!C4/'Balance Sheet'!C18,0)</f>
        <v>9.4275214635139957</v>
      </c>
      <c r="D21" s="4">
        <f>IF('Balance Sheet'!D18&gt;0,'Profit &amp; Loss'!D4/'Balance Sheet'!D18,0)</f>
        <v>9.8648448889569682</v>
      </c>
      <c r="E21" s="4">
        <f>IF('Balance Sheet'!E18&gt;0,'Profit &amp; Loss'!E4/'Balance Sheet'!E18,0)</f>
        <v>8.5835497239380469</v>
      </c>
      <c r="F21" s="4">
        <f>IF('Balance Sheet'!F18&gt;0,'Profit &amp; Loss'!F4/'Balance Sheet'!F18,0)</f>
        <v>6.7839164640303231</v>
      </c>
      <c r="G21" s="4">
        <f>IF('Balance Sheet'!G18&gt;0,'Profit &amp; Loss'!G4/'Balance Sheet'!G18,0)</f>
        <v>7.7248687263465623</v>
      </c>
      <c r="H21" s="4">
        <f>IF('Balance Sheet'!H18&gt;0,'Profit &amp; Loss'!H4/'Balance Sheet'!H18,0)</f>
        <v>7.7761270871745172</v>
      </c>
      <c r="I21" s="4">
        <f>IF('Balance Sheet'!I18&gt;0,'Profit &amp; Loss'!I4/'Balance Sheet'!I18,0)</f>
        <v>7.1948244345733032</v>
      </c>
      <c r="J21" s="4">
        <f>IF('Balance Sheet'!J18&gt;0,'Profit &amp; Loss'!J4/'Balance Sheet'!J18,0)</f>
        <v>7.4811594327631301</v>
      </c>
      <c r="K21" s="4">
        <f>IF('Balance Sheet'!K18&gt;0,'Profit &amp; Loss'!K4/'Balance Sheet'!K18,0)</f>
        <v>7.8309659223655785</v>
      </c>
    </row>
    <row r="23" spans="1:11" s="2" customFormat="1" x14ac:dyDescent="0.3">
      <c r="A23" s="2" t="s">
        <v>44</v>
      </c>
      <c r="B23" s="10">
        <f>IF(SUM('Balance Sheet'!B4:B5)&gt;0,'Profit &amp; Loss'!B12/SUM('Balance Sheet'!B4:B5),"")</f>
        <v>0.11884164098344256</v>
      </c>
      <c r="C23" s="10">
        <f>IF(SUM('Balance Sheet'!C4:C5)&gt;0,'Profit &amp; Loss'!C12/SUM('Balance Sheet'!C4:C5),"")</f>
        <v>0.12418844334593228</v>
      </c>
      <c r="D23" s="10">
        <f>IF(SUM('Balance Sheet'!D4:D5)&gt;0,'Profit &amp; Loss'!D12/SUM('Balance Sheet'!D4:D5),"")</f>
        <v>0.20422436974492861</v>
      </c>
      <c r="E23" s="10">
        <f>IF(SUM('Balance Sheet'!E4:E5)&gt;0,'Profit &amp; Loss'!E12/SUM('Balance Sheet'!E4:E5),"")</f>
        <v>0.13294163754417146</v>
      </c>
      <c r="F23" s="10">
        <f>IF(SUM('Balance Sheet'!F4:F5)&gt;0,'Profit &amp; Loss'!F12/SUM('Balance Sheet'!F4:F5),"")</f>
        <v>3.1784386570596294E-3</v>
      </c>
      <c r="G23" s="10">
        <f>IF(SUM('Balance Sheet'!G4:G5)&gt;0,'Profit &amp; Loss'!G12/SUM('Balance Sheet'!G4:G5),"")</f>
        <v>4.3588415349748159E-2</v>
      </c>
      <c r="H23" s="10">
        <f>IF(SUM('Balance Sheet'!H4:H5)&gt;0,'Profit &amp; Loss'!H12/SUM('Balance Sheet'!H4:H5),"")</f>
        <v>0.13957876723375431</v>
      </c>
      <c r="I23" s="10">
        <f>IF(SUM('Balance Sheet'!I4:I5)&gt;0,'Profit &amp; Loss'!I12/SUM('Balance Sheet'!I4:I5),"")</f>
        <v>0.18240673997472581</v>
      </c>
      <c r="J23" s="10">
        <f>IF(SUM('Balance Sheet'!J4:J5)&gt;0,'Profit &amp; Loss'!J12/SUM('Balance Sheet'!J4:J5),"")</f>
        <v>0.1702454504457207</v>
      </c>
      <c r="K23" s="10">
        <f>IF(SUM('Balance Sheet'!K4:K5)&gt;0,'Profit &amp; Loss'!K12/SUM('Balance Sheet'!K4:K5),"")</f>
        <v>0.1678256921247277</v>
      </c>
    </row>
    <row r="24" spans="1:11" s="2" customFormat="1" x14ac:dyDescent="0.3">
      <c r="A24" s="2" t="s">
        <v>45</v>
      </c>
      <c r="B24" s="10"/>
      <c r="C24" s="10">
        <f>IF((B4+B5+B6+C4+C5+C6)&gt;0,('Profit &amp; Loss'!C10+'Profit &amp; Loss'!C9)*2/(B4+B5+B6+C4+C5+C6),"")</f>
        <v>0.13642201385488326</v>
      </c>
      <c r="D24" s="10">
        <f>IF((C4+C5+C6+D4+D5+D6)&gt;0,('Profit &amp; Loss'!D10+'Profit &amp; Loss'!D9)*2/(C4+C5+C6+D4+D5+D6),"")</f>
        <v>0.16719101454349147</v>
      </c>
      <c r="E24" s="10">
        <f>IF((D4+D5+D6+E4+E5+E6)&gt;0,('Profit &amp; Loss'!E10+'Profit &amp; Loss'!E9)*2/(D4+D5+D6+E4+E5+E6),"")</f>
        <v>0.13652934608624995</v>
      </c>
      <c r="F24" s="10">
        <f>IF((E4+E5+E6+F4+F5+F6)&gt;0,('Profit &amp; Loss'!F10+'Profit &amp; Loss'!F9)*2/(E4+E5+E6+F4+F5+F6),"")</f>
        <v>6.5916537744967321E-2</v>
      </c>
      <c r="G24" s="10">
        <f>IF((F4+F5+F6+G4+G5+G6)&gt;0,('Profit &amp; Loss'!G10+'Profit &amp; Loss'!G9)*2/(F4+F5+F6+G4+G5+G6),"")</f>
        <v>7.5821696745472636E-2</v>
      </c>
      <c r="H24" s="10">
        <f>IF((G4+G5+G6+H4+H5+H6)&gt;0,('Profit &amp; Loss'!H10+'Profit &amp; Loss'!H9)*2/(G4+G5+G6+H4+H5+H6),"")</f>
        <v>0.11646662719602678</v>
      </c>
      <c r="I24" s="10">
        <f>IF((H4+H5+H6+I4+I5+I6)&gt;0,('Profit &amp; Loss'!I10+'Profit &amp; Loss'!I9)*2/(H4+H5+H6+I4+I5+I6),"")</f>
        <v>0.14553226271014588</v>
      </c>
      <c r="J24" s="10">
        <f>IF((I4+I5+I6+J4+J5+J6)&gt;0,('Profit &amp; Loss'!J10+'Profit &amp; Loss'!J9)*2/(I4+I5+I6+J4+J5+J6),"")</f>
        <v>0.14509796307588885</v>
      </c>
      <c r="K24" s="10">
        <f>IF((J4+J5+J6+K4+K5+K6)&gt;0,('Profit &amp; Loss'!K10+'Profit &amp; Loss'!K9)*2/(J4+J5+J6+K4+K5+K6),"")</f>
        <v>0.14787565406718026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BM1" workbookViewId="0">
      <selection activeCell="A3" sqref="A3:K7"/>
    </sheetView>
  </sheetViews>
  <sheetFormatPr defaultColWidth="8.77734375" defaultRowHeight="14.4" x14ac:dyDescent="0.3"/>
  <cols>
    <col min="1" max="1" width="26.77734375" customWidth="1"/>
    <col min="2" max="11" width="13.44140625" customWidth="1"/>
  </cols>
  <sheetData>
    <row r="1" spans="1:11" s="2" customFormat="1" x14ac:dyDescent="0.3">
      <c r="A1" s="2" t="str">
        <f>'Balance Sheet'!A1</f>
        <v>MAHINDRA &amp; MAHINDRA LTD</v>
      </c>
      <c r="E1" t="str">
        <f>UPDATE</f>
        <v/>
      </c>
      <c r="F1"/>
      <c r="J1" s="2" t="s">
        <v>0</v>
      </c>
    </row>
    <row r="3" spans="1:11" s="2" customFormat="1" x14ac:dyDescent="0.3">
      <c r="A3" s="11" t="s">
        <v>1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2" t="s">
        <v>94</v>
      </c>
      <c r="H3" s="12" t="s">
        <v>95</v>
      </c>
      <c r="I3" s="12" t="s">
        <v>96</v>
      </c>
      <c r="J3" s="12" t="s">
        <v>97</v>
      </c>
      <c r="K3" s="12" t="s">
        <v>98</v>
      </c>
    </row>
    <row r="4" spans="1:11" s="2" customFormat="1" x14ac:dyDescent="0.3">
      <c r="A4" s="2" t="s">
        <v>46</v>
      </c>
      <c r="B4" s="1">
        <f>'Data Sheet'!B82</f>
        <v>2384.7600000000002</v>
      </c>
      <c r="C4" s="1">
        <f>'Data Sheet'!C82</f>
        <v>183.09</v>
      </c>
      <c r="D4" s="1">
        <f>'Data Sheet'!D82</f>
        <v>681.86</v>
      </c>
      <c r="E4" s="1">
        <f>'Data Sheet'!E82</f>
        <v>-4347.29</v>
      </c>
      <c r="F4" s="1">
        <f>'Data Sheet'!F82</f>
        <v>-1456.93</v>
      </c>
      <c r="G4" s="1">
        <f>'Data Sheet'!G82</f>
        <v>17908.830000000002</v>
      </c>
      <c r="H4" s="1">
        <f>'Data Sheet'!H82</f>
        <v>9247.5499999999993</v>
      </c>
      <c r="I4" s="1">
        <f>'Data Sheet'!I82</f>
        <v>-7074.02</v>
      </c>
      <c r="J4" s="1">
        <f>'Data Sheet'!J82</f>
        <v>-5629.95</v>
      </c>
      <c r="K4" s="1">
        <f>'Data Sheet'!K82</f>
        <v>3175.81</v>
      </c>
    </row>
    <row r="5" spans="1:11" x14ac:dyDescent="0.3">
      <c r="A5" t="s">
        <v>47</v>
      </c>
      <c r="B5" s="6">
        <f>'Data Sheet'!B83</f>
        <v>-5505.97</v>
      </c>
      <c r="C5" s="6">
        <f>'Data Sheet'!C83</f>
        <v>-5875.29</v>
      </c>
      <c r="D5" s="6">
        <f>'Data Sheet'!D83</f>
        <v>-5467.22</v>
      </c>
      <c r="E5" s="6">
        <f>'Data Sheet'!E83</f>
        <v>-7173.97</v>
      </c>
      <c r="F5" s="6">
        <f>'Data Sheet'!F83</f>
        <v>-6869.79</v>
      </c>
      <c r="G5" s="6">
        <f>'Data Sheet'!G83</f>
        <v>-19685.5</v>
      </c>
      <c r="H5" s="6">
        <f>'Data Sheet'!H83</f>
        <v>-3251.95</v>
      </c>
      <c r="I5" s="6">
        <f>'Data Sheet'!I83</f>
        <v>-8866.27</v>
      </c>
      <c r="J5" s="6">
        <f>'Data Sheet'!J83</f>
        <v>-5614.77</v>
      </c>
      <c r="K5" s="6">
        <f>'Data Sheet'!K83</f>
        <v>-18616.13</v>
      </c>
    </row>
    <row r="6" spans="1:11" x14ac:dyDescent="0.3">
      <c r="A6" t="s">
        <v>48</v>
      </c>
      <c r="B6" s="6">
        <f>'Data Sheet'!B84</f>
        <v>2966.81</v>
      </c>
      <c r="C6" s="6">
        <f>'Data Sheet'!C84</f>
        <v>6107.97</v>
      </c>
      <c r="D6" s="6">
        <f>'Data Sheet'!D84</f>
        <v>6314.5</v>
      </c>
      <c r="E6" s="6">
        <f>'Data Sheet'!E84</f>
        <v>13193.63</v>
      </c>
      <c r="F6" s="6">
        <f>'Data Sheet'!F84</f>
        <v>6932.75</v>
      </c>
      <c r="G6" s="6">
        <f>'Data Sheet'!G84</f>
        <v>406.23</v>
      </c>
      <c r="H6" s="6">
        <f>'Data Sheet'!H84</f>
        <v>-5882.6</v>
      </c>
      <c r="I6" s="6">
        <f>'Data Sheet'!I84</f>
        <v>15946.11</v>
      </c>
      <c r="J6" s="6">
        <f>'Data Sheet'!J84</f>
        <v>12281.41</v>
      </c>
      <c r="K6" s="6">
        <f>'Data Sheet'!K84</f>
        <v>15834.11</v>
      </c>
    </row>
    <row r="7" spans="1:11" s="2" customFormat="1" x14ac:dyDescent="0.3">
      <c r="A7" s="2" t="s">
        <v>49</v>
      </c>
      <c r="B7" s="1">
        <f>'Data Sheet'!B85</f>
        <v>-154.4</v>
      </c>
      <c r="C7" s="1">
        <f>'Data Sheet'!C85</f>
        <v>415.77</v>
      </c>
      <c r="D7" s="1">
        <f>'Data Sheet'!D85</f>
        <v>1529.14</v>
      </c>
      <c r="E7" s="1">
        <f>'Data Sheet'!E85</f>
        <v>1672.37</v>
      </c>
      <c r="F7" s="1">
        <f>'Data Sheet'!F85</f>
        <v>-1393.97</v>
      </c>
      <c r="G7" s="1">
        <f>'Data Sheet'!G85</f>
        <v>-1370.44</v>
      </c>
      <c r="H7" s="1">
        <f>'Data Sheet'!H85</f>
        <v>113</v>
      </c>
      <c r="I7" s="1">
        <f>'Data Sheet'!I85</f>
        <v>5.82</v>
      </c>
      <c r="J7" s="1">
        <f>'Data Sheet'!J85</f>
        <v>1036.69</v>
      </c>
      <c r="K7" s="1">
        <f>'Data Sheet'!K85</f>
        <v>393.79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5C74-1FD3-4D37-AFA9-7D7A32A62395}">
  <dimension ref="A1:V11"/>
  <sheetViews>
    <sheetView workbookViewId="0">
      <selection activeCell="G1" sqref="G1"/>
    </sheetView>
  </sheetViews>
  <sheetFormatPr defaultRowHeight="14.4" x14ac:dyDescent="0.3"/>
  <cols>
    <col min="1" max="1" width="11.21875" bestFit="1" customWidth="1"/>
    <col min="2" max="2" width="20.21875" bestFit="1" customWidth="1"/>
    <col min="3" max="3" width="10.5546875" bestFit="1" customWidth="1"/>
    <col min="4" max="4" width="12.6640625" bestFit="1" customWidth="1"/>
    <col min="5" max="5" width="16.21875" bestFit="1" customWidth="1"/>
    <col min="6" max="6" width="10" bestFit="1" customWidth="1"/>
    <col min="7" max="7" width="10.77734375" bestFit="1" customWidth="1"/>
    <col min="8" max="8" width="11.21875" bestFit="1" customWidth="1"/>
    <col min="9" max="9" width="23.88671875" bestFit="1" customWidth="1"/>
    <col min="10" max="10" width="13.5546875" bestFit="1" customWidth="1"/>
    <col min="11" max="11" width="13.6640625" bestFit="1" customWidth="1"/>
    <col min="12" max="12" width="10" bestFit="1" customWidth="1"/>
    <col min="13" max="13" width="11.77734375" bestFit="1" customWidth="1"/>
    <col min="14" max="14" width="16.6640625" bestFit="1" customWidth="1"/>
    <col min="15" max="15" width="9.77734375" bestFit="1" customWidth="1"/>
    <col min="16" max="16" width="11.44140625" bestFit="1" customWidth="1"/>
    <col min="17" max="17" width="11.77734375" bestFit="1" customWidth="1"/>
    <col min="18" max="18" width="13.44140625" bestFit="1" customWidth="1"/>
    <col min="19" max="19" width="19.77734375" bestFit="1" customWidth="1"/>
    <col min="20" max="20" width="11.77734375" bestFit="1" customWidth="1"/>
    <col min="21" max="21" width="17.44140625" bestFit="1" customWidth="1"/>
    <col min="22" max="22" width="22.21875" bestFit="1" customWidth="1"/>
  </cols>
  <sheetData>
    <row r="1" spans="1:22" x14ac:dyDescent="0.3">
      <c r="A1" t="s">
        <v>1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99</v>
      </c>
      <c r="H1" t="s">
        <v>35</v>
      </c>
      <c r="I1" t="s">
        <v>36</v>
      </c>
      <c r="J1" t="s">
        <v>37</v>
      </c>
      <c r="K1" t="s">
        <v>38</v>
      </c>
      <c r="L1" t="s">
        <v>101</v>
      </c>
      <c r="M1" t="s">
        <v>102</v>
      </c>
      <c r="N1" t="s">
        <v>39</v>
      </c>
      <c r="O1" t="s">
        <v>40</v>
      </c>
      <c r="P1" t="s">
        <v>41</v>
      </c>
      <c r="Q1" t="s">
        <v>103</v>
      </c>
      <c r="R1" t="s">
        <v>42</v>
      </c>
      <c r="S1" t="s">
        <v>43</v>
      </c>
      <c r="T1" t="s">
        <v>104</v>
      </c>
      <c r="U1" t="s">
        <v>44</v>
      </c>
      <c r="V1" t="s">
        <v>45</v>
      </c>
    </row>
    <row r="2" spans="1:22" x14ac:dyDescent="0.3">
      <c r="A2" s="26">
        <v>42430</v>
      </c>
      <c r="B2">
        <v>270.39999999999998</v>
      </c>
      <c r="C2">
        <v>26222.25</v>
      </c>
      <c r="D2">
        <v>41552.93</v>
      </c>
      <c r="E2">
        <v>31806.240000000002</v>
      </c>
      <c r="F2">
        <v>99851.82</v>
      </c>
      <c r="H2">
        <v>20584.71</v>
      </c>
      <c r="I2">
        <v>2371.35</v>
      </c>
      <c r="J2">
        <v>11602.58</v>
      </c>
      <c r="K2">
        <v>65293.18</v>
      </c>
      <c r="L2">
        <v>99851.82</v>
      </c>
      <c r="N2">
        <v>33486.94</v>
      </c>
      <c r="O2">
        <v>5817.6</v>
      </c>
      <c r="P2">
        <v>9116.1200000000008</v>
      </c>
      <c r="R2">
        <v>27.998209949128064</v>
      </c>
      <c r="S2">
        <v>8.319484605292601</v>
      </c>
      <c r="U2">
        <v>0.11884164098344301</v>
      </c>
    </row>
    <row r="3" spans="1:22" x14ac:dyDescent="0.3">
      <c r="A3" s="26">
        <v>42795</v>
      </c>
      <c r="B3">
        <v>310.55</v>
      </c>
      <c r="C3">
        <v>29467.1</v>
      </c>
      <c r="D3">
        <v>48761.91</v>
      </c>
      <c r="E3">
        <v>35295.919999999998</v>
      </c>
      <c r="F3">
        <v>113835.48</v>
      </c>
      <c r="H3">
        <v>20989.01</v>
      </c>
      <c r="I3">
        <v>4278.9399999999996</v>
      </c>
      <c r="J3">
        <v>14662.44</v>
      </c>
      <c r="K3">
        <v>73905.09</v>
      </c>
      <c r="L3">
        <v>113835.48</v>
      </c>
      <c r="N3">
        <v>38609.17</v>
      </c>
      <c r="O3">
        <v>7199.26</v>
      </c>
      <c r="P3">
        <v>8886.01</v>
      </c>
      <c r="R3">
        <v>31.367246387710608</v>
      </c>
      <c r="S3">
        <v>9.4275214635139957</v>
      </c>
      <c r="U3">
        <v>0.124188443345932</v>
      </c>
      <c r="V3">
        <v>0.13642201385488301</v>
      </c>
    </row>
    <row r="4" spans="1:22" x14ac:dyDescent="0.3">
      <c r="A4" s="26">
        <v>43160</v>
      </c>
      <c r="B4">
        <v>543.13</v>
      </c>
      <c r="C4">
        <v>36232.06</v>
      </c>
      <c r="D4">
        <v>55897.919999999998</v>
      </c>
      <c r="E4">
        <v>43696.2</v>
      </c>
      <c r="F4">
        <v>136369.31</v>
      </c>
      <c r="H4">
        <v>26181.9</v>
      </c>
      <c r="I4">
        <v>4269.47</v>
      </c>
      <c r="J4">
        <v>16017.61</v>
      </c>
      <c r="K4">
        <v>89900.33</v>
      </c>
      <c r="L4">
        <v>136369.31</v>
      </c>
      <c r="N4">
        <v>46204.130000000005</v>
      </c>
      <c r="O4">
        <v>8489.82</v>
      </c>
      <c r="P4">
        <v>9335.57</v>
      </c>
      <c r="R4">
        <v>33.648076773772871</v>
      </c>
      <c r="S4">
        <v>9.8648448889569682</v>
      </c>
      <c r="U4">
        <v>0.204224369744929</v>
      </c>
      <c r="V4">
        <v>0.167191014543491</v>
      </c>
    </row>
    <row r="5" spans="1:22" x14ac:dyDescent="0.3">
      <c r="A5" s="26">
        <v>43525</v>
      </c>
      <c r="B5">
        <v>543.96</v>
      </c>
      <c r="C5">
        <v>39439.449999999997</v>
      </c>
      <c r="D5">
        <v>70848.3</v>
      </c>
      <c r="E5">
        <v>51056.95</v>
      </c>
      <c r="F5">
        <v>161888.66</v>
      </c>
      <c r="H5">
        <v>28982.74</v>
      </c>
      <c r="I5">
        <v>4759.84</v>
      </c>
      <c r="J5">
        <v>18268.099999999999</v>
      </c>
      <c r="K5">
        <v>109877.98</v>
      </c>
      <c r="L5">
        <v>161888.66</v>
      </c>
      <c r="N5">
        <v>58821.03</v>
      </c>
      <c r="O5">
        <v>8677.89</v>
      </c>
      <c r="P5">
        <v>12200.16</v>
      </c>
      <c r="R5">
        <v>30.246459916035686</v>
      </c>
      <c r="S5">
        <v>8.5835497239380469</v>
      </c>
      <c r="U5">
        <v>0.13294163754417099</v>
      </c>
      <c r="V5">
        <v>0.13652934608625</v>
      </c>
    </row>
    <row r="6" spans="1:22" x14ac:dyDescent="0.3">
      <c r="A6" s="26">
        <v>43891</v>
      </c>
      <c r="B6">
        <v>554.28</v>
      </c>
      <c r="C6">
        <v>39415.03</v>
      </c>
      <c r="D6">
        <v>82092.28</v>
      </c>
      <c r="E6">
        <v>43654.54</v>
      </c>
      <c r="F6">
        <v>165716.13</v>
      </c>
      <c r="H6">
        <v>29689.27</v>
      </c>
      <c r="I6">
        <v>6856.48</v>
      </c>
      <c r="J6">
        <v>19210.34</v>
      </c>
      <c r="K6">
        <v>109960.04</v>
      </c>
      <c r="L6">
        <v>165716.13</v>
      </c>
      <c r="N6">
        <v>66305.5</v>
      </c>
      <c r="O6">
        <v>6928.28</v>
      </c>
      <c r="P6">
        <v>11111.86</v>
      </c>
      <c r="R6">
        <v>33.5467956312607</v>
      </c>
      <c r="S6">
        <v>6.7839164640303231</v>
      </c>
      <c r="U6">
        <v>3.1784386570596298E-3</v>
      </c>
      <c r="V6">
        <v>6.5916537744967293E-2</v>
      </c>
    </row>
    <row r="7" spans="1:22" x14ac:dyDescent="0.3">
      <c r="A7" s="26">
        <v>44256</v>
      </c>
      <c r="B7">
        <v>555.15</v>
      </c>
      <c r="C7">
        <v>41026.769999999997</v>
      </c>
      <c r="D7">
        <v>80624.83</v>
      </c>
      <c r="E7">
        <v>42761.58</v>
      </c>
      <c r="F7">
        <v>164968.32999999999</v>
      </c>
      <c r="H7">
        <v>21379.68</v>
      </c>
      <c r="I7">
        <v>7872.61</v>
      </c>
      <c r="J7">
        <v>28777.66</v>
      </c>
      <c r="K7">
        <v>106938.38</v>
      </c>
      <c r="L7">
        <v>164968.32999999999</v>
      </c>
      <c r="N7">
        <v>64176.800000000003</v>
      </c>
      <c r="O7">
        <v>6007.76</v>
      </c>
      <c r="P7">
        <v>9615.41</v>
      </c>
      <c r="R7">
        <v>29.522050874433784</v>
      </c>
      <c r="S7">
        <v>7.7248687263465623</v>
      </c>
      <c r="U7">
        <v>4.3588415349748201E-2</v>
      </c>
      <c r="V7">
        <v>7.5821696745472594E-2</v>
      </c>
    </row>
    <row r="8" spans="1:22" x14ac:dyDescent="0.3">
      <c r="A8" s="26">
        <v>44621</v>
      </c>
      <c r="B8">
        <v>556.05999999999995</v>
      </c>
      <c r="C8">
        <v>46566.58</v>
      </c>
      <c r="D8">
        <v>77605.210000000006</v>
      </c>
      <c r="E8">
        <v>47660.639999999999</v>
      </c>
      <c r="F8">
        <v>172388.49</v>
      </c>
      <c r="H8">
        <v>26018.49</v>
      </c>
      <c r="I8">
        <v>6702.81</v>
      </c>
      <c r="J8">
        <v>30060.43</v>
      </c>
      <c r="K8">
        <v>109606.76</v>
      </c>
      <c r="L8">
        <v>172388.49</v>
      </c>
      <c r="N8">
        <v>61946.119999999995</v>
      </c>
      <c r="O8">
        <v>6373.95</v>
      </c>
      <c r="P8">
        <v>11595.82</v>
      </c>
      <c r="R8">
        <v>25.801009686419857</v>
      </c>
      <c r="S8">
        <v>7.7761270871745172</v>
      </c>
      <c r="U8">
        <v>0.13957876723375401</v>
      </c>
      <c r="V8">
        <v>0.116466627196027</v>
      </c>
    </row>
    <row r="9" spans="1:22" x14ac:dyDescent="0.3">
      <c r="A9" s="26">
        <v>44986</v>
      </c>
      <c r="B9">
        <v>556.82000000000005</v>
      </c>
      <c r="C9">
        <v>55808.97</v>
      </c>
      <c r="D9">
        <v>92246.85</v>
      </c>
      <c r="E9">
        <v>55670.49</v>
      </c>
      <c r="F9">
        <v>204283.13</v>
      </c>
      <c r="H9">
        <v>27139.98</v>
      </c>
      <c r="I9">
        <v>3968.58</v>
      </c>
      <c r="J9">
        <v>35272.42</v>
      </c>
      <c r="K9">
        <v>137902.15</v>
      </c>
      <c r="L9">
        <v>204283.13</v>
      </c>
      <c r="N9">
        <v>82231.66</v>
      </c>
      <c r="O9">
        <v>7028.02</v>
      </c>
      <c r="P9">
        <v>16854.97</v>
      </c>
      <c r="R9">
        <v>21.153277581038118</v>
      </c>
      <c r="S9">
        <v>7.1948244345733032</v>
      </c>
      <c r="U9">
        <v>0.18240673997472601</v>
      </c>
      <c r="V9">
        <v>0.14553226271014599</v>
      </c>
    </row>
    <row r="10" spans="1:22" x14ac:dyDescent="0.3">
      <c r="A10" s="26">
        <v>45352</v>
      </c>
      <c r="B10">
        <v>557.38</v>
      </c>
      <c r="C10">
        <v>65633.17</v>
      </c>
      <c r="D10">
        <v>108647.25</v>
      </c>
      <c r="E10">
        <v>59883.94</v>
      </c>
      <c r="F10">
        <v>234721.74</v>
      </c>
      <c r="H10">
        <v>28129.41</v>
      </c>
      <c r="I10">
        <v>8039.3</v>
      </c>
      <c r="J10">
        <v>35208.1</v>
      </c>
      <c r="K10">
        <v>163344.93</v>
      </c>
      <c r="L10">
        <v>234721.74</v>
      </c>
      <c r="N10">
        <v>103460.98999999999</v>
      </c>
      <c r="O10">
        <v>7459.4</v>
      </c>
      <c r="P10">
        <v>18590.47</v>
      </c>
      <c r="R10">
        <v>19.576609631396767</v>
      </c>
      <c r="S10">
        <v>7.4811594327631301</v>
      </c>
      <c r="U10">
        <v>0.17024545044572101</v>
      </c>
      <c r="V10">
        <v>0.14509796307588901</v>
      </c>
    </row>
    <row r="11" spans="1:22" x14ac:dyDescent="0.3">
      <c r="A11" s="26">
        <v>45717</v>
      </c>
      <c r="B11">
        <v>558.15</v>
      </c>
      <c r="C11">
        <v>76480.710000000006</v>
      </c>
      <c r="D11">
        <v>129024.58</v>
      </c>
      <c r="E11">
        <v>69949.72</v>
      </c>
      <c r="F11">
        <v>276013.15999999997</v>
      </c>
      <c r="H11">
        <v>34636.36</v>
      </c>
      <c r="I11">
        <v>8297.64</v>
      </c>
      <c r="J11">
        <v>41308.57</v>
      </c>
      <c r="K11">
        <v>191770.59</v>
      </c>
      <c r="L11">
        <v>276013.15999999997</v>
      </c>
      <c r="N11">
        <v>121820.87</v>
      </c>
      <c r="O11">
        <v>8279.7000000000007</v>
      </c>
      <c r="P11">
        <v>20330.93</v>
      </c>
      <c r="R11">
        <v>18.981690440385901</v>
      </c>
      <c r="S11">
        <v>7.8309659223655785</v>
      </c>
      <c r="U11">
        <v>0.167825692124728</v>
      </c>
      <c r="V11">
        <v>0.14787565406718001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DE5C-E5D5-4A63-9646-66D93883FE0F}">
  <dimension ref="A1:Q14"/>
  <sheetViews>
    <sheetView topLeftCell="A9" workbookViewId="0">
      <selection activeCellId="2" sqref="B1:B11 C1:C11 A1:A11"/>
    </sheetView>
  </sheetViews>
  <sheetFormatPr defaultRowHeight="14.4" x14ac:dyDescent="0.3"/>
  <cols>
    <col min="1" max="1" width="11.21875" bestFit="1" customWidth="1"/>
    <col min="2" max="3" width="12" bestFit="1" customWidth="1"/>
    <col min="4" max="4" width="16.77734375" bestFit="1" customWidth="1"/>
    <col min="5" max="5" width="14.77734375" bestFit="1" customWidth="1"/>
    <col min="6" max="6" width="13.88671875" bestFit="1" customWidth="1"/>
    <col min="7" max="7" width="9.6640625" bestFit="1" customWidth="1"/>
    <col min="8" max="8" width="17" bestFit="1" customWidth="1"/>
    <col min="9" max="11" width="12" bestFit="1" customWidth="1"/>
    <col min="12" max="12" width="16.44140625" bestFit="1" customWidth="1"/>
    <col min="13" max="13" width="12" bestFit="1" customWidth="1"/>
    <col min="14" max="14" width="10" bestFit="1" customWidth="1"/>
    <col min="15" max="15" width="17.21875" bestFit="1" customWidth="1"/>
    <col min="16" max="16" width="12" bestFit="1" customWidth="1"/>
  </cols>
  <sheetData>
    <row r="1" spans="1:17" x14ac:dyDescent="0.3">
      <c r="A1" s="23" t="s">
        <v>106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s="23" t="s">
        <v>105</v>
      </c>
    </row>
    <row r="2" spans="1:17" x14ac:dyDescent="0.3">
      <c r="A2" s="22" t="s">
        <v>89</v>
      </c>
      <c r="B2">
        <v>75841.42</v>
      </c>
      <c r="C2">
        <v>65758.98000000001</v>
      </c>
      <c r="D2">
        <v>10082.439999999988</v>
      </c>
      <c r="E2">
        <v>1398.83</v>
      </c>
      <c r="F2">
        <v>2441.65</v>
      </c>
      <c r="G2">
        <v>3367.59</v>
      </c>
      <c r="H2">
        <v>5672.03</v>
      </c>
      <c r="I2">
        <v>2117.5300000000002</v>
      </c>
      <c r="J2">
        <v>3148.43</v>
      </c>
      <c r="K2">
        <v>25.345596522299147</v>
      </c>
      <c r="L2">
        <v>23.883833212108893</v>
      </c>
      <c r="M2">
        <v>605.35</v>
      </c>
      <c r="O2" s="25">
        <v>0.20612178133228309</v>
      </c>
      <c r="P2" s="25">
        <v>0.1329410762614939</v>
      </c>
      <c r="Q2" s="24">
        <f>Annual_1[[#This Row],[Net profit]]/Annual_1[[#This Row],[Sales]]</f>
        <v>4.1513331369586695E-2</v>
      </c>
    </row>
    <row r="3" spans="1:17" x14ac:dyDescent="0.3">
      <c r="A3" s="22" t="s">
        <v>90</v>
      </c>
      <c r="B3">
        <v>83773.05</v>
      </c>
      <c r="C3">
        <v>73038.22</v>
      </c>
      <c r="D3">
        <v>10734.830000000002</v>
      </c>
      <c r="E3">
        <v>2076.61</v>
      </c>
      <c r="F3">
        <v>2812.72</v>
      </c>
      <c r="G3">
        <v>3648.46</v>
      </c>
      <c r="H3">
        <v>6350.26</v>
      </c>
      <c r="I3">
        <v>2299.73</v>
      </c>
      <c r="J3">
        <v>3698.04</v>
      </c>
      <c r="K3">
        <v>29.770085332474643</v>
      </c>
      <c r="L3">
        <v>21.613979026727673</v>
      </c>
      <c r="M3">
        <v>643.45000000000005</v>
      </c>
      <c r="O3" s="25">
        <v>0.2183399855058355</v>
      </c>
      <c r="P3" s="25">
        <v>0.12814180694149255</v>
      </c>
      <c r="Q3" s="24">
        <f>Annual_1[[#This Row],[Net profit]]/Annual_1[[#This Row],[Sales]]</f>
        <v>4.4143552132815983E-2</v>
      </c>
    </row>
    <row r="4" spans="1:17" x14ac:dyDescent="0.3">
      <c r="A4" s="22" t="s">
        <v>91</v>
      </c>
      <c r="B4">
        <v>92093.95</v>
      </c>
      <c r="C4">
        <v>78867.850000000006</v>
      </c>
      <c r="D4">
        <v>13226.099999999991</v>
      </c>
      <c r="E4">
        <v>4366.41</v>
      </c>
      <c r="F4">
        <v>3279.9</v>
      </c>
      <c r="G4">
        <v>3987.09</v>
      </c>
      <c r="H4">
        <v>10325.52</v>
      </c>
      <c r="I4">
        <v>2367.73</v>
      </c>
      <c r="J4">
        <v>7510.39</v>
      </c>
      <c r="K4">
        <v>60.411759974259979</v>
      </c>
      <c r="L4">
        <v>12.231062301691388</v>
      </c>
      <c r="M4">
        <v>738.9</v>
      </c>
      <c r="O4" s="25">
        <v>0.10847639070674094</v>
      </c>
      <c r="P4" s="25">
        <v>0.143615297204648</v>
      </c>
      <c r="Q4" s="24">
        <f>Annual_1[[#This Row],[Net profit]]/Annual_1[[#This Row],[Sales]]</f>
        <v>8.1551393984078221E-2</v>
      </c>
    </row>
    <row r="5" spans="1:17" x14ac:dyDescent="0.3">
      <c r="A5" s="22" t="s">
        <v>92</v>
      </c>
      <c r="B5">
        <v>104720.68</v>
      </c>
      <c r="C5">
        <v>89514.17</v>
      </c>
      <c r="D5">
        <v>15206.509999999995</v>
      </c>
      <c r="E5">
        <v>2676.45</v>
      </c>
      <c r="F5">
        <v>3990.77</v>
      </c>
      <c r="G5">
        <v>5021.3500000000004</v>
      </c>
      <c r="H5">
        <v>8870.84</v>
      </c>
      <c r="I5">
        <v>2853.99</v>
      </c>
      <c r="J5">
        <v>5315.46</v>
      </c>
      <c r="K5">
        <v>42.756274131274132</v>
      </c>
      <c r="L5">
        <v>15.761429490580307</v>
      </c>
      <c r="M5">
        <v>673.9</v>
      </c>
      <c r="O5" s="25">
        <v>0.17396989159922188</v>
      </c>
      <c r="P5" s="25">
        <v>0.14521019153045986</v>
      </c>
      <c r="Q5" s="24">
        <f>Annual_1[[#This Row],[Net profit]]/Annual_1[[#This Row],[Sales]]</f>
        <v>5.0758455731952853E-2</v>
      </c>
    </row>
    <row r="6" spans="1:17" x14ac:dyDescent="0.3">
      <c r="A6" s="22" t="s">
        <v>93</v>
      </c>
      <c r="B6">
        <v>75381.929999999993</v>
      </c>
      <c r="C6">
        <v>65224.180000000008</v>
      </c>
      <c r="D6">
        <v>10157.749999999985</v>
      </c>
      <c r="E6">
        <v>884.69</v>
      </c>
      <c r="F6">
        <v>3366.68</v>
      </c>
      <c r="G6">
        <v>6021.15</v>
      </c>
      <c r="H6">
        <v>1654.61</v>
      </c>
      <c r="I6">
        <v>1975.61</v>
      </c>
      <c r="J6">
        <v>127.04</v>
      </c>
      <c r="K6">
        <v>1.0218790218790219</v>
      </c>
      <c r="L6">
        <v>278.8490554156171</v>
      </c>
      <c r="M6">
        <v>284.95</v>
      </c>
      <c r="O6" s="25">
        <v>2.0506139798488663</v>
      </c>
      <c r="P6" s="25">
        <v>0.13475046340681363</v>
      </c>
      <c r="Q6" s="24">
        <f>Annual_1[[#This Row],[Net profit]]/Annual_1[[#This Row],[Sales]]</f>
        <v>1.6852845237578823E-3</v>
      </c>
    </row>
    <row r="7" spans="1:17" x14ac:dyDescent="0.3">
      <c r="A7" s="22" t="s">
        <v>94</v>
      </c>
      <c r="B7">
        <v>74277.78</v>
      </c>
      <c r="C7">
        <v>62790.759999999995</v>
      </c>
      <c r="D7">
        <v>11487.020000000004</v>
      </c>
      <c r="E7">
        <v>1151.51</v>
      </c>
      <c r="F7">
        <v>3378.11</v>
      </c>
      <c r="G7">
        <v>6102.22</v>
      </c>
      <c r="H7">
        <v>3158.2</v>
      </c>
      <c r="I7">
        <v>1645.81</v>
      </c>
      <c r="J7">
        <v>1812.49</v>
      </c>
      <c r="K7">
        <v>14.579231016731018</v>
      </c>
      <c r="L7">
        <v>54.546772671849219</v>
      </c>
      <c r="M7">
        <v>795.25</v>
      </c>
      <c r="O7" s="25">
        <v>0.53600847452951461</v>
      </c>
      <c r="P7" s="25">
        <v>0.15464947929246142</v>
      </c>
      <c r="Q7" s="24">
        <f>Annual_1[[#This Row],[Net profit]]/Annual_1[[#This Row],[Sales]]</f>
        <v>2.4401510115138067E-2</v>
      </c>
    </row>
    <row r="8" spans="1:17" x14ac:dyDescent="0.3">
      <c r="A8" s="22" t="s">
        <v>95</v>
      </c>
      <c r="B8">
        <v>90170.57</v>
      </c>
      <c r="C8">
        <v>75487.719999999987</v>
      </c>
      <c r="D8">
        <v>14682.85000000002</v>
      </c>
      <c r="E8">
        <v>3204.47</v>
      </c>
      <c r="F8">
        <v>3507.5</v>
      </c>
      <c r="G8">
        <v>5018.05</v>
      </c>
      <c r="H8">
        <v>9361.77</v>
      </c>
      <c r="I8">
        <v>2108.7600000000002</v>
      </c>
      <c r="J8">
        <v>6577.32</v>
      </c>
      <c r="K8">
        <v>52.906370656370655</v>
      </c>
      <c r="L8">
        <v>15.24485595957016</v>
      </c>
      <c r="M8">
        <v>806.55</v>
      </c>
      <c r="O8" s="25">
        <v>0.1952923075051845</v>
      </c>
      <c r="P8" s="25">
        <v>0.16283417083866741</v>
      </c>
      <c r="Q8" s="24">
        <f>Annual_1[[#This Row],[Net profit]]/Annual_1[[#This Row],[Sales]]</f>
        <v>7.2943089968267913E-2</v>
      </c>
    </row>
    <row r="9" spans="1:17" x14ac:dyDescent="0.3">
      <c r="A9" s="22" t="s">
        <v>96</v>
      </c>
      <c r="B9">
        <v>121268.55</v>
      </c>
      <c r="C9">
        <v>100983.25999999998</v>
      </c>
      <c r="D9">
        <v>20285.290000000023</v>
      </c>
      <c r="E9">
        <v>3961.45</v>
      </c>
      <c r="F9">
        <v>4356.8100000000004</v>
      </c>
      <c r="G9">
        <v>5829.7</v>
      </c>
      <c r="H9">
        <v>14060.23</v>
      </c>
      <c r="I9">
        <v>2685.75</v>
      </c>
      <c r="J9">
        <v>10281.5</v>
      </c>
      <c r="K9">
        <v>82.681946119823081</v>
      </c>
      <c r="L9">
        <v>14.013942031804698</v>
      </c>
      <c r="M9">
        <v>1158.7</v>
      </c>
      <c r="O9" s="25">
        <v>0.17601128240042796</v>
      </c>
      <c r="P9" s="25">
        <v>0.16727576935652336</v>
      </c>
      <c r="Q9" s="24">
        <f>Annual_1[[#This Row],[Net profit]]/Annual_1[[#This Row],[Sales]]</f>
        <v>8.4782905378187501E-2</v>
      </c>
    </row>
    <row r="10" spans="1:17" x14ac:dyDescent="0.3">
      <c r="A10" s="22" t="s">
        <v>97</v>
      </c>
      <c r="B10">
        <v>139078.26999999999</v>
      </c>
      <c r="C10">
        <v>114186.34</v>
      </c>
      <c r="D10">
        <v>24891.929999999993</v>
      </c>
      <c r="E10">
        <v>3297.85</v>
      </c>
      <c r="F10">
        <v>4723.78</v>
      </c>
      <c r="G10">
        <v>7488.21</v>
      </c>
      <c r="H10">
        <v>15977.79</v>
      </c>
      <c r="I10">
        <v>3707.97</v>
      </c>
      <c r="J10">
        <v>11268.64</v>
      </c>
      <c r="K10">
        <v>90.620345798150382</v>
      </c>
      <c r="L10">
        <v>21.202192323119736</v>
      </c>
      <c r="M10">
        <v>1921.35</v>
      </c>
      <c r="O10" s="25">
        <v>0.2087332632864303</v>
      </c>
      <c r="P10" s="25">
        <v>0.17897785182401243</v>
      </c>
      <c r="Q10" s="24">
        <f>Annual_1[[#This Row],[Net profit]]/Annual_1[[#This Row],[Sales]]</f>
        <v>8.1023728581035709E-2</v>
      </c>
    </row>
    <row r="11" spans="1:17" x14ac:dyDescent="0.3">
      <c r="A11" s="22" t="s">
        <v>98</v>
      </c>
      <c r="B11">
        <v>159210.82</v>
      </c>
      <c r="C11">
        <v>128692.63</v>
      </c>
      <c r="D11">
        <v>30518.190000000002</v>
      </c>
      <c r="E11">
        <v>3718.47</v>
      </c>
      <c r="F11">
        <v>6073.65</v>
      </c>
      <c r="G11">
        <v>9083.39</v>
      </c>
      <c r="H11">
        <v>19079.62</v>
      </c>
      <c r="I11">
        <v>5006.45</v>
      </c>
      <c r="J11">
        <v>12929.1</v>
      </c>
      <c r="K11">
        <v>103.97346200241255</v>
      </c>
      <c r="L11">
        <v>25.639234749518529</v>
      </c>
      <c r="M11">
        <v>2665.8</v>
      </c>
      <c r="O11" s="25">
        <v>0.21844057204291092</v>
      </c>
      <c r="P11" s="25">
        <v>0.19168414558759261</v>
      </c>
      <c r="Q11" s="24">
        <f>Annual_1[[#This Row],[Net profit]]/Annual_1[[#This Row],[Sales]]</f>
        <v>8.1207420450444254E-2</v>
      </c>
    </row>
    <row r="12" spans="1:17" x14ac:dyDescent="0.3">
      <c r="A12" s="22" t="s">
        <v>2</v>
      </c>
      <c r="B12">
        <v>186333.91999999998</v>
      </c>
      <c r="C12">
        <v>151094.89000000001</v>
      </c>
      <c r="D12">
        <v>35239.03</v>
      </c>
      <c r="E12">
        <v>4646.53</v>
      </c>
      <c r="F12">
        <v>7408.0599999999995</v>
      </c>
      <c r="G12">
        <v>9580.0400000000009</v>
      </c>
      <c r="H12">
        <v>22897.46</v>
      </c>
      <c r="I12">
        <v>5993.8099999999995</v>
      </c>
      <c r="J12">
        <v>15726.45</v>
      </c>
      <c r="K12">
        <v>126.46630546384313</v>
      </c>
      <c r="L12">
        <v>24.718046348667372</v>
      </c>
      <c r="M12">
        <v>3126</v>
      </c>
      <c r="O12" s="24"/>
      <c r="P12" s="25">
        <v>0.1891176335473434</v>
      </c>
      <c r="Q12" s="24">
        <f>Annual_1[[#This Row],[Net profit]]/Annual_1[[#This Row],[Sales]]</f>
        <v>8.4399287043389642E-2</v>
      </c>
    </row>
    <row r="13" spans="1:17" x14ac:dyDescent="0.3">
      <c r="A13" s="22" t="s">
        <v>3</v>
      </c>
      <c r="B13">
        <v>192431.05779815</v>
      </c>
      <c r="C13">
        <v>156038.9515263518</v>
      </c>
      <c r="D13">
        <v>36392.106271798191</v>
      </c>
      <c r="E13">
        <v>0</v>
      </c>
      <c r="F13">
        <v>7408.0599999999995</v>
      </c>
      <c r="G13">
        <v>9580.0400000000009</v>
      </c>
      <c r="H13">
        <v>19404.006271798193</v>
      </c>
      <c r="I13">
        <v>0.26176746241722881</v>
      </c>
      <c r="J13">
        <v>14324.668789301588</v>
      </c>
      <c r="K13">
        <v>115.19369843646814</v>
      </c>
      <c r="L13">
        <v>24.718046348667372</v>
      </c>
      <c r="M13">
        <v>2847.3631770270317</v>
      </c>
      <c r="O13" s="24"/>
      <c r="P13" s="24"/>
      <c r="Q13" s="24">
        <f>Annual_1[[#This Row],[Net profit]]/Annual_1[[#This Row],[Sales]]</f>
        <v>7.4440524067208566E-2</v>
      </c>
    </row>
    <row r="14" spans="1:17" x14ac:dyDescent="0.3">
      <c r="A14" s="22" t="s">
        <v>4</v>
      </c>
      <c r="B14">
        <v>174367.59221932862</v>
      </c>
      <c r="C14">
        <v>146684.6843203209</v>
      </c>
      <c r="D14">
        <v>27682.907899007721</v>
      </c>
      <c r="E14">
        <v>0</v>
      </c>
      <c r="F14">
        <v>7408.0599999999995</v>
      </c>
      <c r="G14">
        <v>9580.0400000000009</v>
      </c>
      <c r="H14">
        <v>10694.807899007723</v>
      </c>
      <c r="I14">
        <v>0.26176746241722881</v>
      </c>
      <c r="J14">
        <v>7895.2551742447367</v>
      </c>
      <c r="K14">
        <v>63.490727569223999</v>
      </c>
      <c r="L14">
        <v>21.393353863277582</v>
      </c>
      <c r="M14">
        <v>1358.2796019253628</v>
      </c>
      <c r="O14" s="24"/>
      <c r="P14" s="24"/>
      <c r="Q14" s="24">
        <f>Annual_1[[#This Row],[Net profit]]/Annual_1[[#This Row],[Sales]]</f>
        <v>4.5279372581538399E-2</v>
      </c>
    </row>
  </sheetData>
  <phoneticPr fontId="10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A38D-406B-4009-8BAE-6AADE1F2C7C8}">
  <dimension ref="A1:L11"/>
  <sheetViews>
    <sheetView workbookViewId="0">
      <selection activeCell="G15" sqref="G15"/>
    </sheetView>
  </sheetViews>
  <sheetFormatPr defaultRowHeight="14.4" x14ac:dyDescent="0.3"/>
  <cols>
    <col min="1" max="1" width="11.21875" bestFit="1" customWidth="1"/>
    <col min="2" max="2" width="9" bestFit="1" customWidth="1"/>
    <col min="3" max="3" width="10.88671875" bestFit="1" customWidth="1"/>
    <col min="4" max="4" width="16.77734375" bestFit="1" customWidth="1"/>
    <col min="5" max="5" width="14.77734375" bestFit="1" customWidth="1"/>
    <col min="6" max="6" width="13.88671875" bestFit="1" customWidth="1"/>
    <col min="7" max="7" width="9.6640625" bestFit="1" customWidth="1"/>
    <col min="8" max="8" width="17" bestFit="1" customWidth="1"/>
    <col min="9" max="9" width="8" bestFit="1" customWidth="1"/>
    <col min="10" max="10" width="11.33203125" bestFit="1" customWidth="1"/>
    <col min="11" max="11" width="11.77734375" bestFit="1" customWidth="1"/>
    <col min="12" max="12" width="12" bestFit="1" customWidth="1"/>
  </cols>
  <sheetData>
    <row r="1" spans="1:12" x14ac:dyDescent="0.3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100</v>
      </c>
      <c r="L1" t="s">
        <v>19</v>
      </c>
    </row>
    <row r="2" spans="1:12" x14ac:dyDescent="0.3">
      <c r="A2" s="26">
        <v>45170</v>
      </c>
      <c r="B2">
        <v>34435.519999999997</v>
      </c>
      <c r="C2">
        <v>28705.94</v>
      </c>
      <c r="D2">
        <v>5729.58</v>
      </c>
      <c r="E2">
        <v>811.95</v>
      </c>
      <c r="F2">
        <v>1138.6400000000001</v>
      </c>
      <c r="G2">
        <v>1835.19</v>
      </c>
      <c r="H2">
        <v>3567.7</v>
      </c>
      <c r="I2">
        <v>1083.73</v>
      </c>
      <c r="J2">
        <v>2347.75</v>
      </c>
      <c r="L2">
        <v>0.166385755173728</v>
      </c>
    </row>
    <row r="3" spans="1:12" x14ac:dyDescent="0.3">
      <c r="A3" s="26">
        <v>45261</v>
      </c>
      <c r="B3">
        <v>35299.39</v>
      </c>
      <c r="C3">
        <v>29075.41</v>
      </c>
      <c r="D3">
        <v>6223.98</v>
      </c>
      <c r="E3">
        <v>755.69</v>
      </c>
      <c r="F3">
        <v>1122.5899999999999</v>
      </c>
      <c r="G3">
        <v>1944.88</v>
      </c>
      <c r="H3">
        <v>3912.2</v>
      </c>
      <c r="I3">
        <v>935.16</v>
      </c>
      <c r="J3">
        <v>2658.4</v>
      </c>
      <c r="L3">
        <v>0.17631976076640399</v>
      </c>
    </row>
    <row r="4" spans="1:12" x14ac:dyDescent="0.3">
      <c r="A4" s="26">
        <v>45352</v>
      </c>
      <c r="B4">
        <v>35451.730000000003</v>
      </c>
      <c r="C4">
        <v>28847.82</v>
      </c>
      <c r="D4">
        <v>6603.91</v>
      </c>
      <c r="E4">
        <v>750.44</v>
      </c>
      <c r="F4">
        <v>1335.05</v>
      </c>
      <c r="G4">
        <v>1989.3</v>
      </c>
      <c r="H4">
        <v>4030</v>
      </c>
      <c r="I4">
        <v>905.06</v>
      </c>
      <c r="J4">
        <v>2754.08</v>
      </c>
      <c r="L4">
        <v>0.18627892066198201</v>
      </c>
    </row>
    <row r="5" spans="1:12" x14ac:dyDescent="0.3">
      <c r="A5" s="26">
        <v>45444</v>
      </c>
      <c r="B5">
        <v>37217.72</v>
      </c>
      <c r="C5">
        <v>29974.6</v>
      </c>
      <c r="D5">
        <v>7243.12</v>
      </c>
      <c r="E5">
        <v>733.21</v>
      </c>
      <c r="F5">
        <v>1247.77</v>
      </c>
      <c r="G5">
        <v>2107.69</v>
      </c>
      <c r="H5">
        <v>4620.87</v>
      </c>
      <c r="I5">
        <v>1075.0899999999999</v>
      </c>
      <c r="J5">
        <v>3282.63</v>
      </c>
      <c r="L5">
        <v>0.19461482326160801</v>
      </c>
    </row>
    <row r="6" spans="1:12" x14ac:dyDescent="0.3">
      <c r="A6" s="26">
        <v>45536</v>
      </c>
      <c r="B6">
        <v>37923.74</v>
      </c>
      <c r="C6">
        <v>30790.34</v>
      </c>
      <c r="D6">
        <v>7133.4</v>
      </c>
      <c r="E6">
        <v>1125.57</v>
      </c>
      <c r="F6">
        <v>1301.99</v>
      </c>
      <c r="G6">
        <v>2217.02</v>
      </c>
      <c r="H6">
        <v>4739.96</v>
      </c>
      <c r="I6">
        <v>1378.9</v>
      </c>
      <c r="J6">
        <v>3170.72</v>
      </c>
      <c r="L6">
        <v>0.18809853669495699</v>
      </c>
    </row>
    <row r="7" spans="1:12" x14ac:dyDescent="0.3">
      <c r="A7" s="26">
        <v>45627</v>
      </c>
      <c r="B7">
        <v>41470.050000000003</v>
      </c>
      <c r="C7">
        <v>33239.32</v>
      </c>
      <c r="D7">
        <v>8230.73</v>
      </c>
      <c r="E7">
        <v>718.59</v>
      </c>
      <c r="F7">
        <v>1495.17</v>
      </c>
      <c r="G7">
        <v>2362.16</v>
      </c>
      <c r="H7">
        <v>5091.99</v>
      </c>
      <c r="I7">
        <v>1467.51</v>
      </c>
      <c r="J7">
        <v>3180.58</v>
      </c>
      <c r="L7">
        <v>0.19847407948627999</v>
      </c>
    </row>
    <row r="8" spans="1:12" x14ac:dyDescent="0.3">
      <c r="A8" s="26">
        <v>45717</v>
      </c>
      <c r="B8">
        <v>42599.31</v>
      </c>
      <c r="C8">
        <v>34688.370000000003</v>
      </c>
      <c r="D8">
        <v>7910.94</v>
      </c>
      <c r="E8">
        <v>1141.0999999999999</v>
      </c>
      <c r="F8">
        <v>2028.72</v>
      </c>
      <c r="G8">
        <v>2396.52</v>
      </c>
      <c r="H8">
        <v>4626.8</v>
      </c>
      <c r="I8">
        <v>1084.95</v>
      </c>
      <c r="J8">
        <v>3295.17</v>
      </c>
      <c r="L8">
        <v>0.18570582481265499</v>
      </c>
    </row>
    <row r="9" spans="1:12" x14ac:dyDescent="0.3">
      <c r="A9" s="26">
        <v>45809</v>
      </c>
      <c r="B9">
        <v>45529.19</v>
      </c>
      <c r="C9">
        <v>37301.39</v>
      </c>
      <c r="D9">
        <v>8227.7999999999993</v>
      </c>
      <c r="E9">
        <v>1395.06</v>
      </c>
      <c r="F9">
        <v>1547.56</v>
      </c>
      <c r="G9">
        <v>2431.19</v>
      </c>
      <c r="H9">
        <v>5644.11</v>
      </c>
      <c r="I9">
        <v>1267.53</v>
      </c>
      <c r="J9">
        <v>4083.32</v>
      </c>
      <c r="L9">
        <v>0.180714833714371</v>
      </c>
    </row>
    <row r="10" spans="1:12" x14ac:dyDescent="0.3">
      <c r="A10" s="26">
        <v>45901</v>
      </c>
      <c r="B10">
        <v>46105.67</v>
      </c>
      <c r="C10">
        <v>37165.760000000002</v>
      </c>
      <c r="D10">
        <v>8939.91</v>
      </c>
      <c r="E10">
        <v>1133.94</v>
      </c>
      <c r="F10">
        <v>1668.89</v>
      </c>
      <c r="G10">
        <v>2347.0300000000002</v>
      </c>
      <c r="H10">
        <v>6057.93</v>
      </c>
      <c r="I10">
        <v>2094.1799999999998</v>
      </c>
      <c r="J10">
        <v>3673.32</v>
      </c>
      <c r="L10">
        <v>0.19390044651774899</v>
      </c>
    </row>
    <row r="11" spans="1:12" x14ac:dyDescent="0.3">
      <c r="A11" s="26">
        <v>45992</v>
      </c>
      <c r="B11">
        <v>52099.75</v>
      </c>
      <c r="C11">
        <v>41939.370000000003</v>
      </c>
      <c r="D11">
        <v>10160.379999999999</v>
      </c>
      <c r="E11">
        <v>976.43</v>
      </c>
      <c r="F11">
        <v>2162.89</v>
      </c>
      <c r="G11">
        <v>2405.3000000000002</v>
      </c>
      <c r="H11">
        <v>6568.62</v>
      </c>
      <c r="I11">
        <v>1547.15</v>
      </c>
      <c r="J11">
        <v>4674.6400000000003</v>
      </c>
      <c r="L11">
        <v>0.195017826381125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E14F-DA24-4C2D-83AD-C97CC0900AB8}">
  <dimension ref="A1:E11"/>
  <sheetViews>
    <sheetView workbookViewId="0"/>
  </sheetViews>
  <sheetFormatPr defaultRowHeight="14.4" x14ac:dyDescent="0.3"/>
  <cols>
    <col min="1" max="1" width="11.21875" bestFit="1" customWidth="1"/>
    <col min="2" max="2" width="27.77734375" bestFit="1" customWidth="1"/>
    <col min="3" max="3" width="27" bestFit="1" customWidth="1"/>
    <col min="4" max="4" width="27.33203125" bestFit="1" customWidth="1"/>
    <col min="5" max="5" width="15" bestFit="1" customWidth="1"/>
  </cols>
  <sheetData>
    <row r="1" spans="1:5" x14ac:dyDescent="0.3">
      <c r="A1" t="s">
        <v>1</v>
      </c>
      <c r="B1" t="s">
        <v>46</v>
      </c>
      <c r="C1" t="s">
        <v>47</v>
      </c>
      <c r="D1" t="s">
        <v>48</v>
      </c>
      <c r="E1" t="s">
        <v>49</v>
      </c>
    </row>
    <row r="2" spans="1:5" x14ac:dyDescent="0.3">
      <c r="A2" s="26">
        <v>42430</v>
      </c>
      <c r="B2">
        <v>2384.7600000000002</v>
      </c>
      <c r="C2">
        <v>-5505.97</v>
      </c>
      <c r="D2">
        <v>2966.81</v>
      </c>
      <c r="E2">
        <v>-154.4</v>
      </c>
    </row>
    <row r="3" spans="1:5" x14ac:dyDescent="0.3">
      <c r="A3" s="26">
        <v>42795</v>
      </c>
      <c r="B3">
        <v>183.09</v>
      </c>
      <c r="C3">
        <v>-5875.29</v>
      </c>
      <c r="D3">
        <v>6107.97</v>
      </c>
      <c r="E3">
        <v>415.77</v>
      </c>
    </row>
    <row r="4" spans="1:5" x14ac:dyDescent="0.3">
      <c r="A4" s="26">
        <v>43160</v>
      </c>
      <c r="B4">
        <v>681.86</v>
      </c>
      <c r="C4">
        <v>-5467.22</v>
      </c>
      <c r="D4">
        <v>6314.5</v>
      </c>
      <c r="E4">
        <v>1529.14</v>
      </c>
    </row>
    <row r="5" spans="1:5" x14ac:dyDescent="0.3">
      <c r="A5" s="26">
        <v>43525</v>
      </c>
      <c r="B5">
        <v>-4347.29</v>
      </c>
      <c r="C5">
        <v>-7173.97</v>
      </c>
      <c r="D5">
        <v>13193.63</v>
      </c>
      <c r="E5">
        <v>1672.37</v>
      </c>
    </row>
    <row r="6" spans="1:5" x14ac:dyDescent="0.3">
      <c r="A6" s="26">
        <v>43891</v>
      </c>
      <c r="B6">
        <v>-1456.93</v>
      </c>
      <c r="C6">
        <v>-6869.79</v>
      </c>
      <c r="D6">
        <v>6932.75</v>
      </c>
      <c r="E6">
        <v>-1393.97</v>
      </c>
    </row>
    <row r="7" spans="1:5" x14ac:dyDescent="0.3">
      <c r="A7" s="26">
        <v>44256</v>
      </c>
      <c r="B7">
        <v>17908.830000000002</v>
      </c>
      <c r="C7">
        <v>-19685.5</v>
      </c>
      <c r="D7">
        <v>406.23</v>
      </c>
      <c r="E7">
        <v>-1370.44</v>
      </c>
    </row>
    <row r="8" spans="1:5" x14ac:dyDescent="0.3">
      <c r="A8" s="26">
        <v>44621</v>
      </c>
      <c r="B8">
        <v>9247.5499999999993</v>
      </c>
      <c r="C8">
        <v>-3251.95</v>
      </c>
      <c r="D8">
        <v>-5882.6</v>
      </c>
      <c r="E8">
        <v>113</v>
      </c>
    </row>
    <row r="9" spans="1:5" x14ac:dyDescent="0.3">
      <c r="A9" s="26">
        <v>44986</v>
      </c>
      <c r="B9">
        <v>-7074.02</v>
      </c>
      <c r="C9">
        <v>-8866.27</v>
      </c>
      <c r="D9">
        <v>15946.11</v>
      </c>
      <c r="E9">
        <v>5.82</v>
      </c>
    </row>
    <row r="10" spans="1:5" x14ac:dyDescent="0.3">
      <c r="A10" s="26">
        <v>45352</v>
      </c>
      <c r="B10">
        <v>-5629.95</v>
      </c>
      <c r="C10">
        <v>-5614.77</v>
      </c>
      <c r="D10">
        <v>12281.41</v>
      </c>
      <c r="E10">
        <v>1036.69</v>
      </c>
    </row>
    <row r="11" spans="1:5" x14ac:dyDescent="0.3">
      <c r="A11" s="26">
        <v>45717</v>
      </c>
      <c r="B11">
        <v>3175.81</v>
      </c>
      <c r="C11">
        <v>-18616.13</v>
      </c>
      <c r="D11">
        <v>15834.11</v>
      </c>
      <c r="E11">
        <v>393.79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2:S34"/>
  <sheetViews>
    <sheetView showGridLines="0" tabSelected="1" zoomScale="50" zoomScaleNormal="50" workbookViewId="0">
      <selection activeCell="X8" sqref="X8"/>
    </sheetView>
  </sheetViews>
  <sheetFormatPr defaultRowHeight="14.4" x14ac:dyDescent="0.3"/>
  <cols>
    <col min="1" max="7" width="8.88671875" style="27"/>
    <col min="8" max="19" width="20.77734375" style="27" customWidth="1"/>
    <col min="20" max="16384" width="8.88671875" style="27"/>
  </cols>
  <sheetData>
    <row r="2" spans="8:19" ht="24" customHeight="1" x14ac:dyDescent="0.3">
      <c r="H2" s="28" t="s">
        <v>81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8:19" ht="24" customHeight="1" x14ac:dyDescent="0.3"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8:19" ht="30.6" customHeight="1" x14ac:dyDescent="0.3">
      <c r="H4" s="34" t="s">
        <v>82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8:19" ht="27.6" customHeight="1" x14ac:dyDescent="0.3">
      <c r="H5" s="36" t="s">
        <v>83</v>
      </c>
      <c r="I5" s="37" t="s">
        <v>83</v>
      </c>
      <c r="J5" s="36" t="s">
        <v>84</v>
      </c>
      <c r="K5" s="37" t="s">
        <v>84</v>
      </c>
      <c r="L5" s="36" t="s">
        <v>85</v>
      </c>
      <c r="M5" s="37" t="s">
        <v>85</v>
      </c>
      <c r="N5" s="36" t="s">
        <v>86</v>
      </c>
      <c r="O5" s="37" t="s">
        <v>86</v>
      </c>
      <c r="P5" s="36" t="s">
        <v>87</v>
      </c>
      <c r="Q5" s="37" t="s">
        <v>87</v>
      </c>
      <c r="R5" s="36" t="s">
        <v>88</v>
      </c>
      <c r="S5" s="37" t="s">
        <v>88</v>
      </c>
    </row>
    <row r="6" spans="8:19" ht="24" customHeight="1" x14ac:dyDescent="0.3">
      <c r="H6" s="38">
        <f>'Data Sheet'!K17</f>
        <v>159210.82</v>
      </c>
      <c r="I6" s="39"/>
      <c r="J6" s="38">
        <f>'Data Sheet'!K50</f>
        <v>10160.379999999999</v>
      </c>
      <c r="K6" s="39"/>
      <c r="L6" s="38">
        <f>'Data Sheet'!K29</f>
        <v>5006.45</v>
      </c>
      <c r="M6" s="39"/>
      <c r="N6" s="40">
        <f>IFERROR('Data Sheet'!K50/'Data Sheet'!K17,0)</f>
        <v>6.381714509101831E-2</v>
      </c>
      <c r="O6" s="41"/>
      <c r="P6" s="38">
        <f>'Data Sheet'!K83</f>
        <v>-18616.13</v>
      </c>
      <c r="Q6" s="39"/>
      <c r="R6" s="38">
        <f>'Data Sheet'!K90</f>
        <v>2665.8</v>
      </c>
      <c r="S6" s="39"/>
    </row>
    <row r="7" spans="8:19" ht="24" customHeight="1" x14ac:dyDescent="0.3">
      <c r="H7" s="38"/>
      <c r="I7" s="39"/>
      <c r="J7" s="38"/>
      <c r="K7" s="39"/>
      <c r="L7" s="38"/>
      <c r="M7" s="39"/>
      <c r="N7" s="40"/>
      <c r="O7" s="41"/>
      <c r="P7" s="38"/>
      <c r="Q7" s="39"/>
      <c r="R7" s="38"/>
      <c r="S7" s="39"/>
    </row>
    <row r="8" spans="8:19" ht="24" customHeight="1" x14ac:dyDescent="0.3">
      <c r="H8" s="42"/>
      <c r="I8" s="43"/>
      <c r="J8" s="42"/>
      <c r="K8" s="43"/>
      <c r="L8" s="42"/>
      <c r="M8" s="43"/>
      <c r="N8" s="44"/>
      <c r="O8" s="45"/>
      <c r="P8" s="42"/>
      <c r="Q8" s="43"/>
      <c r="R8" s="42"/>
      <c r="S8" s="43"/>
    </row>
    <row r="9" spans="8:19" ht="19.95" customHeight="1" x14ac:dyDescent="0.3"/>
    <row r="10" spans="8:19" ht="19.95" customHeight="1" x14ac:dyDescent="0.3"/>
    <row r="11" spans="8:19" ht="19.95" customHeight="1" x14ac:dyDescent="0.3"/>
    <row r="12" spans="8:19" ht="19.95" customHeight="1" x14ac:dyDescent="0.3"/>
    <row r="13" spans="8:19" ht="19.95" customHeight="1" x14ac:dyDescent="0.3"/>
    <row r="14" spans="8:19" ht="19.95" customHeight="1" x14ac:dyDescent="0.3"/>
    <row r="15" spans="8:19" ht="19.95" customHeight="1" x14ac:dyDescent="0.3"/>
    <row r="16" spans="8:19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</sheetData>
  <mergeCells count="14">
    <mergeCell ref="H2:S3"/>
    <mergeCell ref="H4:S4"/>
    <mergeCell ref="H5:I5"/>
    <mergeCell ref="H6:I8"/>
    <mergeCell ref="J5:K5"/>
    <mergeCell ref="J6:K8"/>
    <mergeCell ref="L5:M5"/>
    <mergeCell ref="L6:M8"/>
    <mergeCell ref="N5:O5"/>
    <mergeCell ref="N6:O8"/>
    <mergeCell ref="P5:Q5"/>
    <mergeCell ref="P6:Q8"/>
    <mergeCell ref="R5:S5"/>
    <mergeCell ref="R6:S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1EC61-A4A2-4FCE-9E65-234EA9A237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 Sheet</vt:lpstr>
      <vt:lpstr>Profit &amp; Loss</vt:lpstr>
      <vt:lpstr>Balance Sheet</vt:lpstr>
      <vt:lpstr>Cash Flow</vt:lpstr>
      <vt:lpstr>Balance Sheet 2</vt:lpstr>
      <vt:lpstr>Annual</vt:lpstr>
      <vt:lpstr>Quarters (2)</vt:lpstr>
      <vt:lpstr>Cash Flow 2</vt:lpstr>
      <vt:lpstr>Dashboard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Ranjan</dc:creator>
  <cp:lastModifiedBy>Aditya Ranjan</cp:lastModifiedBy>
  <dcterms:created xsi:type="dcterms:W3CDTF">2026-04-30T18:31:40Z</dcterms:created>
  <dcterms:modified xsi:type="dcterms:W3CDTF">2026-04-30T18:31:40Z</dcterms:modified>
</cp:coreProperties>
</file>